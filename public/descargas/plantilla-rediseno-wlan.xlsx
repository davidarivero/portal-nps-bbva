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Instrucciones" sheetId="1" state="visible" r:id="rId3"/>
    <sheet name="Resumen" sheetId="2" state="visible" r:id="rId4"/>
    <sheet name="Captura" sheetId="3" state="visible" r:id="rId5"/>
    <sheet name="Catálogo" sheetId="4" state="visible" r:id="rId6"/>
  </sheets>
  <definedNames>
    <definedName function="false" hidden="false" name="ListaAP" vbProcedure="false">OFFSET(Catálogo!$A$5,0,0,MAX(1,COUNTA(Catálogo!$A$5:$A$2000)),1)</definedName>
    <definedName function="false" hidden="false" name="UmbralAlarma" vbProcedure="false">Catálogo!$G$6</definedName>
    <definedName function="false" hidden="false" name="UmbralRegular" vbProcedure="false">Catálogo!$G$5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5" authorId="0">
      <text>
        <r>
          <rPr>
            <sz val="10"/>
            <rFont val="Arial"/>
            <family val="2"/>
          </rPr>
          <t xml:space="preserve">Umbral definido por Sipnology para el portal (David Rivero, oct 2026).</t>
        </r>
      </text>
    </comment>
    <comment ref="G6" authorId="0">
      <text>
        <r>
          <rPr>
            <sz val="10"/>
            <rFont val="Arial"/>
            <family val="2"/>
          </rPr>
          <t xml:space="preserve">Criterio de rediseño: más de 37 usuarios por AP (David Rivero, oct 2026).</t>
        </r>
      </text>
    </comment>
  </commentList>
</comments>
</file>

<file path=xl/sharedStrings.xml><?xml version="1.0" encoding="utf-8"?>
<sst xmlns="http://schemas.openxmlformats.org/spreadsheetml/2006/main" count="232" uniqueCount="118">
  <si>
    <t xml:space="preserve">Rediseño WLAN · Captura de lecturas por AP</t>
  </si>
  <si>
    <t xml:space="preserve">Sipnology · BBVA · Programa de mejora NPS WLAN</t>
  </si>
  <si>
    <t xml:space="preserve">Cómo capturar</t>
  </si>
  <si>
    <t xml:space="preserve">1.</t>
  </si>
  <si>
    <t xml:space="preserve">Captura cada lectura en la hoja "Captura": una fila por AP y por hora de lectura.</t>
  </si>
  <si>
    <t xml:space="preserve">2.</t>
  </si>
  <si>
    <t xml:space="preserve">Llena solo las columnas amarillas: Fecha, Hora, AP, Usuarios, Utilización de canal e Ingeniero.</t>
  </si>
  <si>
    <t xml:space="preserve">3.</t>
  </si>
  <si>
    <t xml:space="preserve">Elige el AP de la lista. Sede, Piso, Nivel y Validación se calculan solos.</t>
  </si>
  <si>
    <t xml:space="preserve">4.</t>
  </si>
  <si>
    <t xml:space="preserve">Escribe la utilización como porcentaje: 25% (o 0.25). La celda ya tiene formato de porcentaje.</t>
  </si>
  <si>
    <t xml:space="preserve">5.</t>
  </si>
  <si>
    <t xml:space="preserve">Revisa que la columna Validación diga "OK" en todas las filas antes de subir el archivo.</t>
  </si>
  <si>
    <t xml:space="preserve">6.</t>
  </si>
  <si>
    <t xml:space="preserve">Sube el archivo completo al portal (Rediseño WLAN → Cargar Excel). Solo se agregan las lecturas nuevas; las que ya existen no se duplican.</t>
  </si>
  <si>
    <t xml:space="preserve">7.</t>
  </si>
  <si>
    <t xml:space="preserve">Si aparece un AP nuevo, agrégalo primero en la hoja "Catálogo" (AP, sede y piso) para que esté en la lista.</t>
  </si>
  <si>
    <t xml:space="preserve">Ejemplo de una fila bien capturada (solo de referencia; no se carga al portal)</t>
  </si>
  <si>
    <t xml:space="preserve">Fecha (ejemplo)</t>
  </si>
  <si>
    <t xml:space="preserve">Hora</t>
  </si>
  <si>
    <t xml:space="preserve">AP</t>
  </si>
  <si>
    <t xml:space="preserve">Usuarios</t>
  </si>
  <si>
    <t xml:space="preserve">Utilización de canal</t>
  </si>
  <si>
    <t xml:space="preserve">Sede</t>
  </si>
  <si>
    <t xml:space="preserve">Piso</t>
  </si>
  <si>
    <t xml:space="preserve">Nivel</t>
  </si>
  <si>
    <t xml:space="preserve">Validación</t>
  </si>
  <si>
    <t xml:space="preserve">AP-P37-MR56-PUEBLA-01</t>
  </si>
  <si>
    <t xml:space="preserve">Puebla · Inxignia</t>
  </si>
  <si>
    <t xml:space="preserve">Piso 37</t>
  </si>
  <si>
    <t xml:space="preserve">Bueno</t>
  </si>
  <si>
    <t xml:space="preserve">OK</t>
  </si>
  <si>
    <t xml:space="preserve">Colores</t>
  </si>
  <si>
    <t xml:space="preserve">Columna para capturar</t>
  </si>
  <si>
    <t xml:space="preserve">Columna calculada: no la edites</t>
  </si>
  <si>
    <t xml:space="preserve">Usuarios: Bueno, menos del umbral regular</t>
  </si>
  <si>
    <t xml:space="preserve">Usuarios: Regular, del umbral regular al de alarma</t>
  </si>
  <si>
    <t xml:space="preserve">Usuarios: Alarmante, más del umbral de alarma (criterio de rediseño)</t>
  </si>
  <si>
    <t xml:space="preserve">Los umbrales están en la hoja "Catálogo" (celdas amarillas G5 y G6) y coinciden con los del portal: regular desde 30 y alarmante más de 37 usuarios por AP.</t>
  </si>
  <si>
    <t xml:space="preserve">Resumen por sede</t>
  </si>
  <si>
    <t xml:space="preserve">Se actualiza con lo capturado en "Captura".</t>
  </si>
  <si>
    <t xml:space="preserve">AP en catálogo</t>
  </si>
  <si>
    <t xml:space="preserve">Última fecha capturada</t>
  </si>
  <si>
    <t xml:space="preserve">Lecturas en Captura</t>
  </si>
  <si>
    <t xml:space="preserve">Promedio de usuarios (Captura)</t>
  </si>
  <si>
    <t xml:space="preserve">Pico de usuarios (Captura)</t>
  </si>
  <si>
    <t xml:space="preserve">Filas con observaciones</t>
  </si>
  <si>
    <t xml:space="preserve">Monterrey · Obispado</t>
  </si>
  <si>
    <t xml:space="preserve">León · City Center</t>
  </si>
  <si>
    <t xml:space="preserve">Guadalajara · Landmark</t>
  </si>
  <si>
    <t xml:space="preserve">Tijuana</t>
  </si>
  <si>
    <t xml:space="preserve">Total</t>
  </si>
  <si>
    <t xml:space="preserve">Antes de subir el archivo al portal, la columna "Filas con observaciones" debe estar en 0.</t>
  </si>
  <si>
    <t xml:space="preserve">Captura de lecturas</t>
  </si>
  <si>
    <t xml:space="preserve">Una fila por AP y por hora. Llena las columnas amarillas; las grises se calculan. Sube este archivo completo al portal.</t>
  </si>
  <si>
    <t xml:space="preserve">Fecha</t>
  </si>
  <si>
    <t xml:space="preserve">Ingeniero</t>
  </si>
  <si>
    <t xml:space="preserve">Notas</t>
  </si>
  <si>
    <t xml:space="preserve">Catálogo de AP</t>
  </si>
  <si>
    <t xml:space="preserve">Agrega aquí los AP nuevos antes de capturarlos. La lista de la hoja "Captura" se actualiza sola.</t>
  </si>
  <si>
    <t xml:space="preserve">Parámetros</t>
  </si>
  <si>
    <t xml:space="preserve">Umbral regular (usuarios por AP, desde)</t>
  </si>
  <si>
    <t xml:space="preserve">AP-P37-MR56-PUEBLA-02</t>
  </si>
  <si>
    <t xml:space="preserve">Umbral de alarma (usuarios por AP, más de)</t>
  </si>
  <si>
    <t xml:space="preserve">AP-P37-MR56-PUEBLA-03</t>
  </si>
  <si>
    <t xml:space="preserve">AP-P37-MR56-PUEBLA-04</t>
  </si>
  <si>
    <t xml:space="preserve">Sedes</t>
  </si>
  <si>
    <t xml:space="preserve">AP-P37-MR56-PUEBLA-05</t>
  </si>
  <si>
    <t xml:space="preserve">AP-P37-MR56-PUEBLA-06</t>
  </si>
  <si>
    <t xml:space="preserve">AP-P37-MR56-PUEBLA-07</t>
  </si>
  <si>
    <t xml:space="preserve">AP-P28-MR56-MTY-01</t>
  </si>
  <si>
    <t xml:space="preserve">Piso 28</t>
  </si>
  <si>
    <t xml:space="preserve">AP-P28-MR56-MTY-02</t>
  </si>
  <si>
    <t xml:space="preserve">AP-P28-MR56-MTY-03</t>
  </si>
  <si>
    <t xml:space="preserve">AP-P28-MR56-MTY-04</t>
  </si>
  <si>
    <t xml:space="preserve">AP-P28-MR56-MTY-05</t>
  </si>
  <si>
    <t xml:space="preserve">AP-P28-MR56-MTY-06</t>
  </si>
  <si>
    <t xml:space="preserve">AP-P28-MR56-MTY-07</t>
  </si>
  <si>
    <t xml:space="preserve">AP-P28-MR56-MTY-08</t>
  </si>
  <si>
    <t xml:space="preserve">AP-P28-MR56-MTY-09</t>
  </si>
  <si>
    <t xml:space="preserve">AP-P28-MR56-MTY-10</t>
  </si>
  <si>
    <t xml:space="preserve">AP-P32-MR56-MTY-01</t>
  </si>
  <si>
    <t xml:space="preserve">Piso 32</t>
  </si>
  <si>
    <t xml:space="preserve">AP-P32-MR56-MTY-02</t>
  </si>
  <si>
    <t xml:space="preserve">AP-P32-MR56-MTY-03</t>
  </si>
  <si>
    <t xml:space="preserve">AP-P32-MR56-MTY-04</t>
  </si>
  <si>
    <t xml:space="preserve">AP-P32-MR56-MTY-05</t>
  </si>
  <si>
    <t xml:space="preserve">AP-P32-MR56-MTY-06</t>
  </si>
  <si>
    <t xml:space="preserve">AP-P32-MR56-MTY-07</t>
  </si>
  <si>
    <t xml:space="preserve">AP-P32-MR56-MTY-08</t>
  </si>
  <si>
    <t xml:space="preserve">AP-P32-MR56-MTY-09</t>
  </si>
  <si>
    <t xml:space="preserve">AP-P11-MR56-LEON-01</t>
  </si>
  <si>
    <t xml:space="preserve">Piso 11</t>
  </si>
  <si>
    <t xml:space="preserve">AP-P11-MR56-LEON-02</t>
  </si>
  <si>
    <t xml:space="preserve">AP-P11-MR56-LEON-03</t>
  </si>
  <si>
    <t xml:space="preserve">AP-P11-MR56-LEON-04</t>
  </si>
  <si>
    <t xml:space="preserve">AP-P11-MR56-LEON-05</t>
  </si>
  <si>
    <t xml:space="preserve">AP-P11-MR56-LEON-06</t>
  </si>
  <si>
    <t xml:space="preserve">AP-P11-MR56-LEON-07</t>
  </si>
  <si>
    <t xml:space="preserve">AP-P11-MR56-LEON-08</t>
  </si>
  <si>
    <t xml:space="preserve">AP-P2-MR56-GDL-01</t>
  </si>
  <si>
    <t xml:space="preserve">Piso 2</t>
  </si>
  <si>
    <t xml:space="preserve">AP-P2-MR56-GDL-02</t>
  </si>
  <si>
    <t xml:space="preserve">AP-P2-MR56-GDL-03</t>
  </si>
  <si>
    <t xml:space="preserve">AP-P2-MR56-GDL-04</t>
  </si>
  <si>
    <t xml:space="preserve">AP-P2-MR56-GDL-05</t>
  </si>
  <si>
    <t xml:space="preserve">AP-P2-MR56-GDL-06</t>
  </si>
  <si>
    <t xml:space="preserve">AP-P2-MR56-GDL-07</t>
  </si>
  <si>
    <t xml:space="preserve">AP-P17-MR56-TIJUANA-01</t>
  </si>
  <si>
    <t xml:space="preserve">Piso 17</t>
  </si>
  <si>
    <t xml:space="preserve">AP-P17-MR56-TIJUANA-02</t>
  </si>
  <si>
    <t xml:space="preserve">AP-P17-MR56-TIJUANA-03</t>
  </si>
  <si>
    <t xml:space="preserve">AP-P17-MR56-TIJUANA-04</t>
  </si>
  <si>
    <t xml:space="preserve">AP-P17-MR56-TIJUANA-05</t>
  </si>
  <si>
    <t xml:space="preserve">AP-P17-MR56-TIJUANA-06</t>
  </si>
  <si>
    <t xml:space="preserve">AP-P17-MR56-TIJUANA-07</t>
  </si>
  <si>
    <t xml:space="preserve">AP-P17-MR56-TIJUANA-08</t>
  </si>
  <si>
    <t xml:space="preserve">AP-P17-MR56-TIJUANA-09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</si>
</sst>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/mm/yyyy"/>
    <numFmt numFmtId="166" formatCode="hh:mm"/>
    <numFmt numFmtId="167" formatCode="0%"/>
    <numFmt numFmtId="168" formatCode="0.0"/>
    <numFmt numFmtId="169" formatCode="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232426"/>
      <name val="Arial"/>
      <family val="0"/>
      <charset val="1"/>
    </font>
    <font>
      <sz val="10"/>
      <color rgb="FF6D6E71"/>
      <name val="Arial"/>
      <family val="0"/>
      <charset val="1"/>
    </font>
    <font>
      <b val="true"/>
      <sz val="12"/>
      <color rgb="FF232426"/>
      <name val="Arial"/>
      <family val="0"/>
      <charset val="1"/>
    </font>
    <font>
      <b val="true"/>
      <sz val="10"/>
      <color rgb="FF232426"/>
      <name val="Arial"/>
      <family val="0"/>
      <charset val="1"/>
    </font>
    <font>
      <sz val="10"/>
      <color rgb="FF23242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2A2B2E"/>
        <bgColor rgb="FF232426"/>
      </patternFill>
    </fill>
    <fill>
      <patternFill patternType="solid">
        <fgColor rgb="FFFFF7D6"/>
        <bgColor rgb="FFF1F1EF"/>
      </patternFill>
    </fill>
    <fill>
      <patternFill patternType="solid">
        <fgColor rgb="FFF1F1EF"/>
        <bgColor rgb="FFFFF7D6"/>
      </patternFill>
    </fill>
    <fill>
      <patternFill patternType="solid">
        <fgColor rgb="FFCFE9D9"/>
        <bgColor rgb="FFD9D9D6"/>
      </patternFill>
    </fill>
    <fill>
      <patternFill patternType="solid">
        <fgColor rgb="FFFBE3A8"/>
        <bgColor rgb="FFFFF7D6"/>
      </patternFill>
    </fill>
    <fill>
      <patternFill patternType="solid">
        <fgColor rgb="FFF6C1C5"/>
        <bgColor rgb="FFD9D9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6"/>
      </left>
      <right style="thin">
        <color rgb="FFD9D9D6"/>
      </right>
      <top style="thin">
        <color rgb="FFD9D9D6"/>
      </top>
      <bottom style="thin">
        <color rgb="FFD9D9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2A2B2E"/>
          <bgColor rgb="FF000000"/>
        </patternFill>
      </fill>
    </dxf>
    <dxf>
      <fill>
        <patternFill patternType="solid">
          <fgColor rgb="FFFFF7D6"/>
          <bgColor rgb="FF000000"/>
        </patternFill>
      </fill>
    </dxf>
    <dxf>
      <fill>
        <patternFill patternType="solid">
          <fgColor rgb="FF232426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1F1EF"/>
          <bgColor rgb="FF000000"/>
        </patternFill>
      </fill>
    </dxf>
    <dxf>
      <fill>
        <patternFill>
          <bgColor rgb="FFF6C1C5"/>
        </patternFill>
      </fill>
    </dxf>
    <dxf>
      <fill>
        <patternFill>
          <bgColor rgb="FFFBE3A8"/>
        </patternFill>
      </fill>
    </dxf>
    <dxf>
      <fill>
        <patternFill>
          <bgColor rgb="FFCFE9D9"/>
        </patternFill>
      </fill>
    </dxf>
    <dxf>
      <font>
        <name val="Arial"/>
        <charset val="1"/>
        <family val="0"/>
        <b val="1"/>
        <color rgb="FF8F1230"/>
      </font>
      <fill>
        <patternFill>
          <bgColor rgb="FFF6C1C5"/>
        </patternFill>
      </fill>
    </dxf>
    <dxf>
      <font>
        <name val="Arial"/>
        <charset val="1"/>
        <family val="0"/>
        <color rgb="FF17754A"/>
      </font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F1230"/>
      <rgbColor rgb="FF008000"/>
      <rgbColor rgb="FF000080"/>
      <rgbColor rgb="FF808000"/>
      <rgbColor rgb="FF800080"/>
      <rgbColor rgb="FF17754A"/>
      <rgbColor rgb="FFC0C0C0"/>
      <rgbColor rgb="FF808080"/>
      <rgbColor rgb="FF9999FF"/>
      <rgbColor rgb="FF993366"/>
      <rgbColor rgb="FFFFF7D6"/>
      <rgbColor rgb="FFF1F1EF"/>
      <rgbColor rgb="FF660066"/>
      <rgbColor rgb="FFFF8080"/>
      <rgbColor rgb="FF0066CC"/>
      <rgbColor rgb="FFD9D9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FE9D9"/>
      <rgbColor rgb="FFFBE3A8"/>
      <rgbColor rgb="FF99CCFF"/>
      <rgbColor rgb="FFFF99CC"/>
      <rgbColor rgb="FFCC99FF"/>
      <rgbColor rgb="FFF6C1C5"/>
      <rgbColor rgb="FF3366FF"/>
      <rgbColor rgb="FF33CCCC"/>
      <rgbColor rgb="FF99CC00"/>
      <rgbColor rgb="FFFFCC00"/>
      <rgbColor rgb="FFFF9900"/>
      <rgbColor rgb="FFFF6600"/>
      <rgbColor rgb="FF6D6E71"/>
      <rgbColor rgb="FF969696"/>
      <rgbColor rgb="FF003366"/>
      <rgbColor rgb="FF339966"/>
      <rgbColor rgb="FF003300"/>
      <rgbColor rgb="FF232426"/>
      <rgbColor rgb="FF993300"/>
      <rgbColor rgb="FF993366"/>
      <rgbColor rgb="FF333399"/>
      <rgbColor rgb="FF2A2B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Captura" displayName="Captura" ref="A4:K604" headerRowCount="1" totalsRowCount="0" totalsRowShown="0">
  <autoFilter ref="A4:K604"/>
  <tableColumns count="11">
    <tableColumn id="1" name="Fecha"/>
    <tableColumn id="2" name="Hora"/>
    <tableColumn id="3" name="AP"/>
    <tableColumn id="4" name="Usuarios"/>
    <tableColumn id="5" name="Utilización de canal"/>
    <tableColumn id="6" name="Ingeniero"/>
    <tableColumn id="7" name="Sede"/>
    <tableColumn id="8" name="Piso"/>
    <tableColumn id="9" name="Nivel"/>
    <tableColumn id="10" name="Validación"/>
    <tableColumn id="11" name="Notas"/>
  </tableColumns>
</table>
</file>

<file path=xl/tables/table2.xml><?xml version="1.0" encoding="utf-8"?>
<table xmlns="http://schemas.openxmlformats.org/spreadsheetml/2006/main" id="2" name="CatalogoAP" displayName="CatalogoAP" ref="A4:C54" headerRowCount="1" totalsRowCount="0" totalsRowShown="0">
  <autoFilter ref="A4:C54"/>
  <tableColumns count="3">
    <tableColumn id="1" name="AP"/>
    <tableColumn id="2" name="Sede"/>
    <tableColumn id="3" name="Piso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1.vml"/><Relationship Id="rId3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4"/>
    <col collapsed="false" customWidth="true" hidden="false" outlineLevel="0" max="3" min="3" style="0" width="9"/>
    <col collapsed="false" customWidth="true" hidden="false" outlineLevel="0" max="4" min="4" style="0" width="26"/>
    <col collapsed="false" customWidth="true" hidden="false" outlineLevel="0" max="5" min="5" style="0" width="11"/>
    <col collapsed="false" customWidth="true" hidden="false" outlineLevel="0" max="6" min="6" style="0" width="14"/>
    <col collapsed="false" customWidth="true" hidden="false" outlineLevel="0" max="7" min="7" style="0" width="22"/>
    <col collapsed="false" customWidth="true" hidden="false" outlineLevel="0" max="9" min="8" style="0" width="12"/>
    <col collapsed="false" customWidth="true" hidden="false" outlineLevel="0" max="10" min="10" style="0" width="14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</row>
    <row r="6" customFormat="false" ht="15" hidden="false" customHeight="false" outlineLevel="0" collapsed="false">
      <c r="B6" s="4" t="s">
        <v>3</v>
      </c>
      <c r="C6" s="5" t="s">
        <v>4</v>
      </c>
    </row>
    <row r="7" customFormat="false" ht="15" hidden="false" customHeight="false" outlineLevel="0" collapsed="false">
      <c r="B7" s="4" t="s">
        <v>5</v>
      </c>
      <c r="C7" s="5" t="s">
        <v>6</v>
      </c>
    </row>
    <row r="8" customFormat="false" ht="15" hidden="false" customHeight="false" outlineLevel="0" collapsed="false">
      <c r="B8" s="4" t="s">
        <v>7</v>
      </c>
      <c r="C8" s="5" t="s">
        <v>8</v>
      </c>
    </row>
    <row r="9" customFormat="false" ht="15" hidden="false" customHeight="false" outlineLevel="0" collapsed="false">
      <c r="B9" s="4" t="s">
        <v>9</v>
      </c>
      <c r="C9" s="5" t="s">
        <v>10</v>
      </c>
    </row>
    <row r="10" customFormat="false" ht="15" hidden="false" customHeight="false" outlineLevel="0" collapsed="false">
      <c r="B10" s="4" t="s">
        <v>11</v>
      </c>
      <c r="C10" s="5" t="s">
        <v>12</v>
      </c>
    </row>
    <row r="11" customFormat="false" ht="15" hidden="false" customHeight="false" outlineLevel="0" collapsed="false">
      <c r="B11" s="4" t="s">
        <v>13</v>
      </c>
      <c r="C11" s="5" t="s">
        <v>14</v>
      </c>
    </row>
    <row r="12" customFormat="false" ht="15" hidden="false" customHeight="false" outlineLevel="0" collapsed="false">
      <c r="B12" s="4" t="s">
        <v>15</v>
      </c>
      <c r="C12" s="5" t="s">
        <v>16</v>
      </c>
    </row>
    <row r="14" customFormat="false" ht="15" hidden="false" customHeight="false" outlineLevel="0" collapsed="false">
      <c r="B14" s="3" t="s">
        <v>17</v>
      </c>
    </row>
    <row r="15" customFormat="false" ht="27.75" hidden="false" customHeight="true" outlineLevel="0" collapsed="false">
      <c r="B15" s="6" t="s">
        <v>18</v>
      </c>
      <c r="C15" s="6" t="s">
        <v>19</v>
      </c>
      <c r="D15" s="6" t="s">
        <v>20</v>
      </c>
      <c r="E15" s="6" t="s">
        <v>21</v>
      </c>
      <c r="F15" s="6" t="s">
        <v>22</v>
      </c>
      <c r="G15" s="6" t="s">
        <v>23</v>
      </c>
      <c r="H15" s="6" t="s">
        <v>24</v>
      </c>
      <c r="I15" s="6" t="s">
        <v>25</v>
      </c>
      <c r="J15" s="6" t="s">
        <v>26</v>
      </c>
    </row>
    <row r="16" customFormat="false" ht="15" hidden="false" customHeight="false" outlineLevel="0" collapsed="false">
      <c r="B16" s="7" t="n">
        <v>46304</v>
      </c>
      <c r="C16" s="8" t="n">
        <v>0.458333333333333</v>
      </c>
      <c r="D16" s="9" t="s">
        <v>27</v>
      </c>
      <c r="E16" s="9" t="n">
        <v>12</v>
      </c>
      <c r="F16" s="10" t="n">
        <v>0.31</v>
      </c>
      <c r="G16" s="11" t="s">
        <v>28</v>
      </c>
      <c r="H16" s="11" t="s">
        <v>29</v>
      </c>
      <c r="I16" s="11" t="s">
        <v>30</v>
      </c>
      <c r="J16" s="11" t="s">
        <v>31</v>
      </c>
    </row>
    <row r="18" customFormat="false" ht="15" hidden="false" customHeight="false" outlineLevel="0" collapsed="false">
      <c r="B18" s="3" t="s">
        <v>32</v>
      </c>
    </row>
    <row r="19" customFormat="false" ht="15" hidden="false" customHeight="false" outlineLevel="0" collapsed="false">
      <c r="B19" s="12"/>
      <c r="C19" s="5" t="s">
        <v>33</v>
      </c>
    </row>
    <row r="20" customFormat="false" ht="15" hidden="false" customHeight="false" outlineLevel="0" collapsed="false">
      <c r="B20" s="13"/>
      <c r="C20" s="5" t="s">
        <v>34</v>
      </c>
    </row>
    <row r="21" customFormat="false" ht="15" hidden="false" customHeight="false" outlineLevel="0" collapsed="false">
      <c r="B21" s="14"/>
      <c r="C21" s="5" t="s">
        <v>35</v>
      </c>
    </row>
    <row r="22" customFormat="false" ht="15" hidden="false" customHeight="false" outlineLevel="0" collapsed="false">
      <c r="B22" s="15"/>
      <c r="C22" s="5" t="s">
        <v>36</v>
      </c>
    </row>
    <row r="23" customFormat="false" ht="15" hidden="false" customHeight="false" outlineLevel="0" collapsed="false">
      <c r="B23" s="16"/>
      <c r="C23" s="5" t="s">
        <v>37</v>
      </c>
    </row>
    <row r="25" customFormat="false" ht="15" hidden="false" customHeight="false" outlineLevel="0" collapsed="false">
      <c r="B25" s="2" t="s"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4" min="4" style="0" width="13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16"/>
  </cols>
  <sheetData>
    <row r="1" customFormat="false" ht="19.7" hidden="false" customHeight="false" outlineLevel="0" collapsed="false">
      <c r="A1" s="1" t="s">
        <v>39</v>
      </c>
    </row>
    <row r="2" customFormat="false" ht="15" hidden="false" customHeight="false" outlineLevel="0" collapsed="false">
      <c r="A2" s="2" t="s">
        <v>40</v>
      </c>
    </row>
    <row r="4" customFormat="false" ht="43.5" hidden="false" customHeight="true" outlineLevel="0" collapsed="false">
      <c r="A4" s="6" t="s">
        <v>23</v>
      </c>
      <c r="B4" s="6" t="s">
        <v>41</v>
      </c>
      <c r="C4" s="6" t="s">
        <v>42</v>
      </c>
      <c r="D4" s="6" t="s">
        <v>43</v>
      </c>
      <c r="E4" s="6" t="s">
        <v>44</v>
      </c>
      <c r="F4" s="6" t="s">
        <v>45</v>
      </c>
      <c r="G4" s="6" t="s">
        <v>46</v>
      </c>
    </row>
    <row r="5" customFormat="false" ht="15" hidden="false" customHeight="false" outlineLevel="0" collapsed="false">
      <c r="A5" s="17" t="s">
        <v>28</v>
      </c>
      <c r="B5" s="17" t="n">
        <f aca="false">COUNTIF(Catálogo!$B$5:$B$2000,A5)</f>
        <v>7</v>
      </c>
      <c r="C5" s="18" t="str">
        <f aca="false">IF(_xlfn.MAXIFS(Captura!$A$5:$A$604,Captura!$G$5:$G$604,A5)=0,"Sin lecturas",_xlfn.MAXIFS(Captura!$A$5:$A$604,Captura!$G$5:$G$604,A5))</f>
        <v>Sin lecturas</v>
      </c>
      <c r="D5" s="17" t="n">
        <f aca="false">COUNTIFS(Captura!$G$5:$G$604,A5,Captura!$D$5:$D$604,"&lt;&gt;")</f>
        <v>0</v>
      </c>
      <c r="E5" s="19" t="str">
        <f aca="false">IFERROR(AVERAGEIFS(Captura!$D$5:$D$604,Captura!$G$5:$G$604,A5),"—")</f>
        <v>—</v>
      </c>
      <c r="F5" s="17" t="str">
        <f aca="false">IF(D5=0,"—",_xlfn.MAXIFS(Captura!$D$5:$D$604,Captura!$G$5:$G$604,A5))</f>
        <v>—</v>
      </c>
      <c r="G5" s="17" t="n">
        <f aca="false">COUNTIFS(Captura!$G$5:$G$604,A5,Captura!$J$5:$J$604,"&lt;&gt;OK",Captura!$J$5:$J$604,"&lt;&gt;")</f>
        <v>0</v>
      </c>
    </row>
    <row r="6" customFormat="false" ht="15" hidden="false" customHeight="false" outlineLevel="0" collapsed="false">
      <c r="A6" s="17" t="s">
        <v>47</v>
      </c>
      <c r="B6" s="17" t="n">
        <f aca="false">COUNTIF(Catálogo!$B$5:$B$2000,A6)</f>
        <v>19</v>
      </c>
      <c r="C6" s="18" t="str">
        <f aca="false">IF(_xlfn.MAXIFS(Captura!$A$5:$A$604,Captura!$G$5:$G$604,A6)=0,"Sin lecturas",_xlfn.MAXIFS(Captura!$A$5:$A$604,Captura!$G$5:$G$604,A6))</f>
        <v>Sin lecturas</v>
      </c>
      <c r="D6" s="17" t="n">
        <f aca="false">COUNTIFS(Captura!$G$5:$G$604,A6,Captura!$D$5:$D$604,"&lt;&gt;")</f>
        <v>0</v>
      </c>
      <c r="E6" s="19" t="str">
        <f aca="false">IFERROR(AVERAGEIFS(Captura!$D$5:$D$604,Captura!$G$5:$G$604,A6),"—")</f>
        <v>—</v>
      </c>
      <c r="F6" s="17" t="str">
        <f aca="false">IF(D6=0,"—",_xlfn.MAXIFS(Captura!$D$5:$D$604,Captura!$G$5:$G$604,A6))</f>
        <v>—</v>
      </c>
      <c r="G6" s="17" t="n">
        <f aca="false">COUNTIFS(Captura!$G$5:$G$604,A6,Captura!$J$5:$J$604,"&lt;&gt;OK",Captura!$J$5:$J$604,"&lt;&gt;")</f>
        <v>0</v>
      </c>
    </row>
    <row r="7" customFormat="false" ht="15" hidden="false" customHeight="false" outlineLevel="0" collapsed="false">
      <c r="A7" s="17" t="s">
        <v>48</v>
      </c>
      <c r="B7" s="17" t="n">
        <f aca="false">COUNTIF(Catálogo!$B$5:$B$2000,A7)</f>
        <v>8</v>
      </c>
      <c r="C7" s="18" t="str">
        <f aca="false">IF(_xlfn.MAXIFS(Captura!$A$5:$A$604,Captura!$G$5:$G$604,A7)=0,"Sin lecturas",_xlfn.MAXIFS(Captura!$A$5:$A$604,Captura!$G$5:$G$604,A7))</f>
        <v>Sin lecturas</v>
      </c>
      <c r="D7" s="17" t="n">
        <f aca="false">COUNTIFS(Captura!$G$5:$G$604,A7,Captura!$D$5:$D$604,"&lt;&gt;")</f>
        <v>0</v>
      </c>
      <c r="E7" s="19" t="str">
        <f aca="false">IFERROR(AVERAGEIFS(Captura!$D$5:$D$604,Captura!$G$5:$G$604,A7),"—")</f>
        <v>—</v>
      </c>
      <c r="F7" s="17" t="str">
        <f aca="false">IF(D7=0,"—",_xlfn.MAXIFS(Captura!$D$5:$D$604,Captura!$G$5:$G$604,A7))</f>
        <v>—</v>
      </c>
      <c r="G7" s="17" t="n">
        <f aca="false">COUNTIFS(Captura!$G$5:$G$604,A7,Captura!$J$5:$J$604,"&lt;&gt;OK",Captura!$J$5:$J$604,"&lt;&gt;")</f>
        <v>0</v>
      </c>
    </row>
    <row r="8" customFormat="false" ht="15" hidden="false" customHeight="false" outlineLevel="0" collapsed="false">
      <c r="A8" s="17" t="s">
        <v>49</v>
      </c>
      <c r="B8" s="17" t="n">
        <f aca="false">COUNTIF(Catálogo!$B$5:$B$2000,A8)</f>
        <v>7</v>
      </c>
      <c r="C8" s="18" t="str">
        <f aca="false">IF(_xlfn.MAXIFS(Captura!$A$5:$A$604,Captura!$G$5:$G$604,A8)=0,"Sin lecturas",_xlfn.MAXIFS(Captura!$A$5:$A$604,Captura!$G$5:$G$604,A8))</f>
        <v>Sin lecturas</v>
      </c>
      <c r="D8" s="17" t="n">
        <f aca="false">COUNTIFS(Captura!$G$5:$G$604,A8,Captura!$D$5:$D$604,"&lt;&gt;")</f>
        <v>0</v>
      </c>
      <c r="E8" s="19" t="str">
        <f aca="false">IFERROR(AVERAGEIFS(Captura!$D$5:$D$604,Captura!$G$5:$G$604,A8),"—")</f>
        <v>—</v>
      </c>
      <c r="F8" s="17" t="str">
        <f aca="false">IF(D8=0,"—",_xlfn.MAXIFS(Captura!$D$5:$D$604,Captura!$G$5:$G$604,A8))</f>
        <v>—</v>
      </c>
      <c r="G8" s="17" t="n">
        <f aca="false">COUNTIFS(Captura!$G$5:$G$604,A8,Captura!$J$5:$J$604,"&lt;&gt;OK",Captura!$J$5:$J$604,"&lt;&gt;")</f>
        <v>0</v>
      </c>
    </row>
    <row r="9" customFormat="false" ht="15" hidden="false" customHeight="false" outlineLevel="0" collapsed="false">
      <c r="A9" s="17" t="s">
        <v>50</v>
      </c>
      <c r="B9" s="17" t="n">
        <f aca="false">COUNTIF(Catálogo!$B$5:$B$2000,A9)</f>
        <v>9</v>
      </c>
      <c r="C9" s="18" t="str">
        <f aca="false">IF(_xlfn.MAXIFS(Captura!$A$5:$A$604,Captura!$G$5:$G$604,A9)=0,"Sin lecturas",_xlfn.MAXIFS(Captura!$A$5:$A$604,Captura!$G$5:$G$604,A9))</f>
        <v>Sin lecturas</v>
      </c>
      <c r="D9" s="17" t="n">
        <f aca="false">COUNTIFS(Captura!$G$5:$G$604,A9,Captura!$D$5:$D$604,"&lt;&gt;")</f>
        <v>0</v>
      </c>
      <c r="E9" s="19" t="str">
        <f aca="false">IFERROR(AVERAGEIFS(Captura!$D$5:$D$604,Captura!$G$5:$G$604,A9),"—")</f>
        <v>—</v>
      </c>
      <c r="F9" s="17" t="str">
        <f aca="false">IF(D9=0,"—",_xlfn.MAXIFS(Captura!$D$5:$D$604,Captura!$G$5:$G$604,A9))</f>
        <v>—</v>
      </c>
      <c r="G9" s="17" t="n">
        <f aca="false">COUNTIFS(Captura!$G$5:$G$604,A9,Captura!$J$5:$J$604,"&lt;&gt;OK",Captura!$J$5:$J$604,"&lt;&gt;")</f>
        <v>0</v>
      </c>
    </row>
    <row r="10" customFormat="false" ht="15" hidden="false" customHeight="false" outlineLevel="0" collapsed="false">
      <c r="A10" s="4" t="s">
        <v>51</v>
      </c>
      <c r="B10" s="4" t="n">
        <f aca="false">SUM(B5:B9)</f>
        <v>50</v>
      </c>
      <c r="D10" s="4" t="n">
        <f aca="false">SUM(D5:D9)</f>
        <v>0</v>
      </c>
      <c r="G10" s="4" t="n">
        <f aca="false">COUNTIFS(Captura!$J$5:$J$604,"&lt;&gt;OK",Captura!$J$5:$J$604,"&lt;&gt;")</f>
        <v>600</v>
      </c>
    </row>
    <row r="12" customFormat="false" ht="15" hidden="false" customHeight="false" outlineLevel="0" collapsed="false">
      <c r="A12" s="2" t="s">
        <v>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3" min="3" style="0" width="27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20"/>
    <col collapsed="false" customWidth="true" hidden="false" outlineLevel="0" max="7" min="7" style="0" width="22"/>
    <col collapsed="false" customWidth="true" hidden="false" outlineLevel="0" max="8" min="8" style="0" width="9"/>
    <col collapsed="false" customWidth="true" hidden="false" outlineLevel="0" max="9" min="9" style="0" width="11"/>
    <col collapsed="false" customWidth="true" hidden="false" outlineLevel="0" max="10" min="10" style="0" width="22"/>
    <col collapsed="false" customWidth="true" hidden="false" outlineLevel="0" max="11" min="11" style="0" width="28"/>
  </cols>
  <sheetData>
    <row r="1" customFormat="false" ht="19.7" hidden="false" customHeight="false" outlineLevel="0" collapsed="false">
      <c r="A1" s="1" t="s">
        <v>53</v>
      </c>
    </row>
    <row r="2" customFormat="false" ht="15" hidden="false" customHeight="false" outlineLevel="0" collapsed="false">
      <c r="A2" s="2" t="s">
        <v>54</v>
      </c>
    </row>
    <row r="4" customFormat="false" ht="30" hidden="false" customHeight="true" outlineLevel="0" collapsed="false">
      <c r="A4" s="6" t="s">
        <v>55</v>
      </c>
      <c r="B4" s="6" t="s">
        <v>19</v>
      </c>
      <c r="C4" s="6" t="s">
        <v>20</v>
      </c>
      <c r="D4" s="6" t="s">
        <v>21</v>
      </c>
      <c r="E4" s="6" t="s">
        <v>22</v>
      </c>
      <c r="F4" s="6" t="s">
        <v>56</v>
      </c>
      <c r="G4" s="6" t="s">
        <v>23</v>
      </c>
      <c r="H4" s="6" t="s">
        <v>24</v>
      </c>
      <c r="I4" s="6" t="s">
        <v>25</v>
      </c>
      <c r="J4" s="6" t="s">
        <v>26</v>
      </c>
      <c r="K4" s="6" t="s">
        <v>57</v>
      </c>
    </row>
    <row r="5" customFormat="false" ht="15" hidden="false" customHeight="false" outlineLevel="0" collapsed="false">
      <c r="A5" s="7"/>
      <c r="B5" s="8"/>
      <c r="C5" s="9"/>
      <c r="D5" s="20"/>
      <c r="E5" s="10"/>
      <c r="F5" s="9"/>
      <c r="G5" s="11" t="str">
        <f aca="false">IF(C5="","",IFERROR(INDEX(Catálogo!$B$5:$B$2000,MATCH(C5,Catálogo!$A$5:$A$2000,0)),""))</f>
        <v/>
      </c>
      <c r="H5" s="11" t="str">
        <f aca="false">IF(C5="","",IFERROR(INDEX(Catálogo!$C$5:$C$2000,MATCH(C5,Catálogo!$A$5:$A$2000,0)),""))</f>
        <v/>
      </c>
      <c r="I5" s="11" t="str">
        <f aca="false">IF(D5="","",IF(D5&gt;UmbralAlarma,"Alarmante",IF(D5&gt;=UmbralRegular,"Regular","Bueno")))</f>
        <v/>
      </c>
      <c r="J5" s="11" t="str">
        <f aca="true">IF(COUNTA(A5:F5)=0,"",IF(OR(A5="",B5="",C5="",D5=""),"Faltan datos",IF(G5="","AP no está en el catálogo",IF(A5&gt;TODAY()+1,"Fecha futura",IF(OR(D5&lt;0,D5&lt;&gt;INT(D5)),"Usuarios no válidos",IF(AND(E5&lt;&gt;"",OR(E5&lt;0,E5&gt;1)),"Utilización fuera de 0-100%",IF(COUNTIFS($A$5:$A$604,A5,$B$5:$B$604,B5,$C$5:$C$604,C5)&gt;1,"Fila duplicada","OK")))))))</f>
        <v/>
      </c>
      <c r="K5" s="9"/>
    </row>
    <row r="6" customFormat="false" ht="15" hidden="false" customHeight="false" outlineLevel="0" collapsed="false">
      <c r="A6" s="7"/>
      <c r="B6" s="8"/>
      <c r="C6" s="9"/>
      <c r="D6" s="20"/>
      <c r="E6" s="10"/>
      <c r="F6" s="9"/>
      <c r="G6" s="11" t="str">
        <f aca="false">IF(C6="","",IFERROR(INDEX(Catálogo!$B$5:$B$2000,MATCH(C6,Catálogo!$A$5:$A$2000,0)),""))</f>
        <v/>
      </c>
      <c r="H6" s="11" t="str">
        <f aca="false">IF(C6="","",IFERROR(INDEX(Catálogo!$C$5:$C$2000,MATCH(C6,Catálogo!$A$5:$A$2000,0)),""))</f>
        <v/>
      </c>
      <c r="I6" s="11" t="str">
        <f aca="false">IF(D6="","",IF(D6&gt;UmbralAlarma,"Alarmante",IF(D6&gt;=UmbralRegular,"Regular","Bueno")))</f>
        <v/>
      </c>
      <c r="J6" s="11" t="str">
        <f aca="true">IF(COUNTA(A6:F6)=0,"",IF(OR(A6="",B6="",C6="",D6=""),"Faltan datos",IF(G6="","AP no está en el catálogo",IF(A6&gt;TODAY()+1,"Fecha futura",IF(OR(D6&lt;0,D6&lt;&gt;INT(D6)),"Usuarios no válidos",IF(AND(E6&lt;&gt;"",OR(E6&lt;0,E6&gt;1)),"Utilización fuera de 0-100%",IF(COUNTIFS($A$5:$A$604,A6,$B$5:$B$604,B6,$C$5:$C$604,C6)&gt;1,"Fila duplicada","OK")))))))</f>
        <v/>
      </c>
      <c r="K6" s="9"/>
    </row>
    <row r="7" customFormat="false" ht="15" hidden="false" customHeight="false" outlineLevel="0" collapsed="false">
      <c r="A7" s="7"/>
      <c r="B7" s="8"/>
      <c r="C7" s="9"/>
      <c r="D7" s="20"/>
      <c r="E7" s="10"/>
      <c r="F7" s="9"/>
      <c r="G7" s="11" t="str">
        <f aca="false">IF(C7="","",IFERROR(INDEX(Catálogo!$B$5:$B$2000,MATCH(C7,Catálogo!$A$5:$A$2000,0)),""))</f>
        <v/>
      </c>
      <c r="H7" s="11" t="str">
        <f aca="false">IF(C7="","",IFERROR(INDEX(Catálogo!$C$5:$C$2000,MATCH(C7,Catálogo!$A$5:$A$2000,0)),""))</f>
        <v/>
      </c>
      <c r="I7" s="11" t="str">
        <f aca="false">IF(D7="","",IF(D7&gt;UmbralAlarma,"Alarmante",IF(D7&gt;=UmbralRegular,"Regular","Bueno")))</f>
        <v/>
      </c>
      <c r="J7" s="11" t="str">
        <f aca="true">IF(COUNTA(A7:F7)=0,"",IF(OR(A7="",B7="",C7="",D7=""),"Faltan datos",IF(G7="","AP no está en el catálogo",IF(A7&gt;TODAY()+1,"Fecha futura",IF(OR(D7&lt;0,D7&lt;&gt;INT(D7)),"Usuarios no válidos",IF(AND(E7&lt;&gt;"",OR(E7&lt;0,E7&gt;1)),"Utilización fuera de 0-100%",IF(COUNTIFS($A$5:$A$604,A7,$B$5:$B$604,B7,$C$5:$C$604,C7)&gt;1,"Fila duplicada","OK")))))))</f>
        <v/>
      </c>
      <c r="K7" s="9"/>
    </row>
    <row r="8" customFormat="false" ht="15" hidden="false" customHeight="false" outlineLevel="0" collapsed="false">
      <c r="A8" s="7"/>
      <c r="B8" s="8"/>
      <c r="C8" s="9"/>
      <c r="D8" s="20"/>
      <c r="E8" s="10"/>
      <c r="F8" s="9"/>
      <c r="G8" s="11" t="str">
        <f aca="false">IF(C8="","",IFERROR(INDEX(Catálogo!$B$5:$B$2000,MATCH(C8,Catálogo!$A$5:$A$2000,0)),""))</f>
        <v/>
      </c>
      <c r="H8" s="11" t="str">
        <f aca="false">IF(C8="","",IFERROR(INDEX(Catálogo!$C$5:$C$2000,MATCH(C8,Catálogo!$A$5:$A$2000,0)),""))</f>
        <v/>
      </c>
      <c r="I8" s="11" t="str">
        <f aca="false">IF(D8="","",IF(D8&gt;UmbralAlarma,"Alarmante",IF(D8&gt;=UmbralRegular,"Regular","Bueno")))</f>
        <v/>
      </c>
      <c r="J8" s="11" t="str">
        <f aca="true">IF(COUNTA(A8:F8)=0,"",IF(OR(A8="",B8="",C8="",D8=""),"Faltan datos",IF(G8="","AP no está en el catálogo",IF(A8&gt;TODAY()+1,"Fecha futura",IF(OR(D8&lt;0,D8&lt;&gt;INT(D8)),"Usuarios no válidos",IF(AND(E8&lt;&gt;"",OR(E8&lt;0,E8&gt;1)),"Utilización fuera de 0-100%",IF(COUNTIFS($A$5:$A$604,A8,$B$5:$B$604,B8,$C$5:$C$604,C8)&gt;1,"Fila duplicada","OK")))))))</f>
        <v/>
      </c>
      <c r="K8" s="9"/>
    </row>
    <row r="9" customFormat="false" ht="15" hidden="false" customHeight="false" outlineLevel="0" collapsed="false">
      <c r="A9" s="7"/>
      <c r="B9" s="8"/>
      <c r="C9" s="9"/>
      <c r="D9" s="20"/>
      <c r="E9" s="10"/>
      <c r="F9" s="9"/>
      <c r="G9" s="11" t="str">
        <f aca="false">IF(C9="","",IFERROR(INDEX(Catálogo!$B$5:$B$2000,MATCH(C9,Catálogo!$A$5:$A$2000,0)),""))</f>
        <v/>
      </c>
      <c r="H9" s="11" t="str">
        <f aca="false">IF(C9="","",IFERROR(INDEX(Catálogo!$C$5:$C$2000,MATCH(C9,Catálogo!$A$5:$A$2000,0)),""))</f>
        <v/>
      </c>
      <c r="I9" s="11" t="str">
        <f aca="false">IF(D9="","",IF(D9&gt;UmbralAlarma,"Alarmante",IF(D9&gt;=UmbralRegular,"Regular","Bueno")))</f>
        <v/>
      </c>
      <c r="J9" s="11" t="str">
        <f aca="true">IF(COUNTA(A9:F9)=0,"",IF(OR(A9="",B9="",C9="",D9=""),"Faltan datos",IF(G9="","AP no está en el catálogo",IF(A9&gt;TODAY()+1,"Fecha futura",IF(OR(D9&lt;0,D9&lt;&gt;INT(D9)),"Usuarios no válidos",IF(AND(E9&lt;&gt;"",OR(E9&lt;0,E9&gt;1)),"Utilización fuera de 0-100%",IF(COUNTIFS($A$5:$A$604,A9,$B$5:$B$604,B9,$C$5:$C$604,C9)&gt;1,"Fila duplicada","OK")))))))</f>
        <v/>
      </c>
      <c r="K9" s="9"/>
    </row>
    <row r="10" customFormat="false" ht="15" hidden="false" customHeight="false" outlineLevel="0" collapsed="false">
      <c r="A10" s="7"/>
      <c r="B10" s="8"/>
      <c r="C10" s="9"/>
      <c r="D10" s="20"/>
      <c r="E10" s="10"/>
      <c r="F10" s="9"/>
      <c r="G10" s="11" t="str">
        <f aca="false">IF(C10="","",IFERROR(INDEX(Catálogo!$B$5:$B$2000,MATCH(C10,Catálogo!$A$5:$A$2000,0)),""))</f>
        <v/>
      </c>
      <c r="H10" s="11" t="str">
        <f aca="false">IF(C10="","",IFERROR(INDEX(Catálogo!$C$5:$C$2000,MATCH(C10,Catálogo!$A$5:$A$2000,0)),""))</f>
        <v/>
      </c>
      <c r="I10" s="11" t="str">
        <f aca="false">IF(D10="","",IF(D10&gt;UmbralAlarma,"Alarmante",IF(D10&gt;=UmbralRegular,"Regular","Bueno")))</f>
        <v/>
      </c>
      <c r="J10" s="11" t="str">
        <f aca="true">IF(COUNTA(A10:F10)=0,"",IF(OR(A10="",B10="",C10="",D10=""),"Faltan datos",IF(G10="","AP no está en el catálogo",IF(A10&gt;TODAY()+1,"Fecha futura",IF(OR(D10&lt;0,D10&lt;&gt;INT(D10)),"Usuarios no válidos",IF(AND(E10&lt;&gt;"",OR(E10&lt;0,E10&gt;1)),"Utilización fuera de 0-100%",IF(COUNTIFS($A$5:$A$604,A10,$B$5:$B$604,B10,$C$5:$C$604,C10)&gt;1,"Fila duplicada","OK")))))))</f>
        <v/>
      </c>
      <c r="K10" s="9"/>
    </row>
    <row r="11" customFormat="false" ht="15" hidden="false" customHeight="false" outlineLevel="0" collapsed="false">
      <c r="A11" s="7"/>
      <c r="B11" s="8"/>
      <c r="C11" s="9"/>
      <c r="D11" s="20"/>
      <c r="E11" s="10"/>
      <c r="F11" s="9"/>
      <c r="G11" s="11" t="str">
        <f aca="false">IF(C11="","",IFERROR(INDEX(Catálogo!$B$5:$B$2000,MATCH(C11,Catálogo!$A$5:$A$2000,0)),""))</f>
        <v/>
      </c>
      <c r="H11" s="11" t="str">
        <f aca="false">IF(C11="","",IFERROR(INDEX(Catálogo!$C$5:$C$2000,MATCH(C11,Catálogo!$A$5:$A$2000,0)),""))</f>
        <v/>
      </c>
      <c r="I11" s="11" t="str">
        <f aca="false">IF(D11="","",IF(D11&gt;UmbralAlarma,"Alarmante",IF(D11&gt;=UmbralRegular,"Regular","Bueno")))</f>
        <v/>
      </c>
      <c r="J11" s="11" t="str">
        <f aca="true">IF(COUNTA(A11:F11)=0,"",IF(OR(A11="",B11="",C11="",D11=""),"Faltan datos",IF(G11="","AP no está en el catálogo",IF(A11&gt;TODAY()+1,"Fecha futura",IF(OR(D11&lt;0,D11&lt;&gt;INT(D11)),"Usuarios no válidos",IF(AND(E11&lt;&gt;"",OR(E11&lt;0,E11&gt;1)),"Utilización fuera de 0-100%",IF(COUNTIFS($A$5:$A$604,A11,$B$5:$B$604,B11,$C$5:$C$604,C11)&gt;1,"Fila duplicada","OK")))))))</f>
        <v/>
      </c>
      <c r="K11" s="9"/>
    </row>
    <row r="12" customFormat="false" ht="15" hidden="false" customHeight="false" outlineLevel="0" collapsed="false">
      <c r="A12" s="7"/>
      <c r="B12" s="8"/>
      <c r="C12" s="9"/>
      <c r="D12" s="20"/>
      <c r="E12" s="10"/>
      <c r="F12" s="9"/>
      <c r="G12" s="11" t="str">
        <f aca="false">IF(C12="","",IFERROR(INDEX(Catálogo!$B$5:$B$2000,MATCH(C12,Catálogo!$A$5:$A$2000,0)),""))</f>
        <v/>
      </c>
      <c r="H12" s="11" t="str">
        <f aca="false">IF(C12="","",IFERROR(INDEX(Catálogo!$C$5:$C$2000,MATCH(C12,Catálogo!$A$5:$A$2000,0)),""))</f>
        <v/>
      </c>
      <c r="I12" s="11" t="str">
        <f aca="false">IF(D12="","",IF(D12&gt;UmbralAlarma,"Alarmante",IF(D12&gt;=UmbralRegular,"Regular","Bueno")))</f>
        <v/>
      </c>
      <c r="J12" s="11" t="str">
        <f aca="true">IF(COUNTA(A12:F12)=0,"",IF(OR(A12="",B12="",C12="",D12=""),"Faltan datos",IF(G12="","AP no está en el catálogo",IF(A12&gt;TODAY()+1,"Fecha futura",IF(OR(D12&lt;0,D12&lt;&gt;INT(D12)),"Usuarios no válidos",IF(AND(E12&lt;&gt;"",OR(E12&lt;0,E12&gt;1)),"Utilización fuera de 0-100%",IF(COUNTIFS($A$5:$A$604,A12,$B$5:$B$604,B12,$C$5:$C$604,C12)&gt;1,"Fila duplicada","OK")))))))</f>
        <v/>
      </c>
      <c r="K12" s="9"/>
    </row>
    <row r="13" customFormat="false" ht="15" hidden="false" customHeight="false" outlineLevel="0" collapsed="false">
      <c r="A13" s="7"/>
      <c r="B13" s="8"/>
      <c r="C13" s="9"/>
      <c r="D13" s="20"/>
      <c r="E13" s="10"/>
      <c r="F13" s="9"/>
      <c r="G13" s="11" t="str">
        <f aca="false">IF(C13="","",IFERROR(INDEX(Catálogo!$B$5:$B$2000,MATCH(C13,Catálogo!$A$5:$A$2000,0)),""))</f>
        <v/>
      </c>
      <c r="H13" s="11" t="str">
        <f aca="false">IF(C13="","",IFERROR(INDEX(Catálogo!$C$5:$C$2000,MATCH(C13,Catálogo!$A$5:$A$2000,0)),""))</f>
        <v/>
      </c>
      <c r="I13" s="11" t="str">
        <f aca="false">IF(D13="","",IF(D13&gt;UmbralAlarma,"Alarmante",IF(D13&gt;=UmbralRegular,"Regular","Bueno")))</f>
        <v/>
      </c>
      <c r="J13" s="11" t="str">
        <f aca="true">IF(COUNTA(A13:F13)=0,"",IF(OR(A13="",B13="",C13="",D13=""),"Faltan datos",IF(G13="","AP no está en el catálogo",IF(A13&gt;TODAY()+1,"Fecha futura",IF(OR(D13&lt;0,D13&lt;&gt;INT(D13)),"Usuarios no válidos",IF(AND(E13&lt;&gt;"",OR(E13&lt;0,E13&gt;1)),"Utilización fuera de 0-100%",IF(COUNTIFS($A$5:$A$604,A13,$B$5:$B$604,B13,$C$5:$C$604,C13)&gt;1,"Fila duplicada","OK")))))))</f>
        <v/>
      </c>
      <c r="K13" s="9"/>
    </row>
    <row r="14" customFormat="false" ht="15" hidden="false" customHeight="false" outlineLevel="0" collapsed="false">
      <c r="A14" s="7"/>
      <c r="B14" s="8"/>
      <c r="C14" s="9"/>
      <c r="D14" s="20"/>
      <c r="E14" s="10"/>
      <c r="F14" s="9"/>
      <c r="G14" s="11" t="str">
        <f aca="false">IF(C14="","",IFERROR(INDEX(Catálogo!$B$5:$B$2000,MATCH(C14,Catálogo!$A$5:$A$2000,0)),""))</f>
        <v/>
      </c>
      <c r="H14" s="11" t="str">
        <f aca="false">IF(C14="","",IFERROR(INDEX(Catálogo!$C$5:$C$2000,MATCH(C14,Catálogo!$A$5:$A$2000,0)),""))</f>
        <v/>
      </c>
      <c r="I14" s="11" t="str">
        <f aca="false">IF(D14="","",IF(D14&gt;UmbralAlarma,"Alarmante",IF(D14&gt;=UmbralRegular,"Regular","Bueno")))</f>
        <v/>
      </c>
      <c r="J14" s="11" t="str">
        <f aca="true">IF(COUNTA(A14:F14)=0,"",IF(OR(A14="",B14="",C14="",D14=""),"Faltan datos",IF(G14="","AP no está en el catálogo",IF(A14&gt;TODAY()+1,"Fecha futura",IF(OR(D14&lt;0,D14&lt;&gt;INT(D14)),"Usuarios no válidos",IF(AND(E14&lt;&gt;"",OR(E14&lt;0,E14&gt;1)),"Utilización fuera de 0-100%",IF(COUNTIFS($A$5:$A$604,A14,$B$5:$B$604,B14,$C$5:$C$604,C14)&gt;1,"Fila duplicada","OK")))))))</f>
        <v/>
      </c>
      <c r="K14" s="9"/>
    </row>
    <row r="15" customFormat="false" ht="15" hidden="false" customHeight="false" outlineLevel="0" collapsed="false">
      <c r="A15" s="7"/>
      <c r="B15" s="8"/>
      <c r="C15" s="9"/>
      <c r="D15" s="20"/>
      <c r="E15" s="10"/>
      <c r="F15" s="9"/>
      <c r="G15" s="11" t="str">
        <f aca="false">IF(C15="","",IFERROR(INDEX(Catálogo!$B$5:$B$2000,MATCH(C15,Catálogo!$A$5:$A$2000,0)),""))</f>
        <v/>
      </c>
      <c r="H15" s="11" t="str">
        <f aca="false">IF(C15="","",IFERROR(INDEX(Catálogo!$C$5:$C$2000,MATCH(C15,Catálogo!$A$5:$A$2000,0)),""))</f>
        <v/>
      </c>
      <c r="I15" s="11" t="str">
        <f aca="false">IF(D15="","",IF(D15&gt;UmbralAlarma,"Alarmante",IF(D15&gt;=UmbralRegular,"Regular","Bueno")))</f>
        <v/>
      </c>
      <c r="J15" s="11" t="str">
        <f aca="true">IF(COUNTA(A15:F15)=0,"",IF(OR(A15="",B15="",C15="",D15=""),"Faltan datos",IF(G15="","AP no está en el catálogo",IF(A15&gt;TODAY()+1,"Fecha futura",IF(OR(D15&lt;0,D15&lt;&gt;INT(D15)),"Usuarios no válidos",IF(AND(E15&lt;&gt;"",OR(E15&lt;0,E15&gt;1)),"Utilización fuera de 0-100%",IF(COUNTIFS($A$5:$A$604,A15,$B$5:$B$604,B15,$C$5:$C$604,C15)&gt;1,"Fila duplicada","OK")))))))</f>
        <v/>
      </c>
      <c r="K15" s="9"/>
    </row>
    <row r="16" customFormat="false" ht="15" hidden="false" customHeight="false" outlineLevel="0" collapsed="false">
      <c r="A16" s="7"/>
      <c r="B16" s="8"/>
      <c r="C16" s="9"/>
      <c r="D16" s="20"/>
      <c r="E16" s="10"/>
      <c r="F16" s="9"/>
      <c r="G16" s="11" t="str">
        <f aca="false">IF(C16="","",IFERROR(INDEX(Catálogo!$B$5:$B$2000,MATCH(C16,Catálogo!$A$5:$A$2000,0)),""))</f>
        <v/>
      </c>
      <c r="H16" s="11" t="str">
        <f aca="false">IF(C16="","",IFERROR(INDEX(Catálogo!$C$5:$C$2000,MATCH(C16,Catálogo!$A$5:$A$2000,0)),""))</f>
        <v/>
      </c>
      <c r="I16" s="11" t="str">
        <f aca="false">IF(D16="","",IF(D16&gt;UmbralAlarma,"Alarmante",IF(D16&gt;=UmbralRegular,"Regular","Bueno")))</f>
        <v/>
      </c>
      <c r="J16" s="11" t="str">
        <f aca="true">IF(COUNTA(A16:F16)=0,"",IF(OR(A16="",B16="",C16="",D16=""),"Faltan datos",IF(G16="","AP no está en el catálogo",IF(A16&gt;TODAY()+1,"Fecha futura",IF(OR(D16&lt;0,D16&lt;&gt;INT(D16)),"Usuarios no válidos",IF(AND(E16&lt;&gt;"",OR(E16&lt;0,E16&gt;1)),"Utilización fuera de 0-100%",IF(COUNTIFS($A$5:$A$604,A16,$B$5:$B$604,B16,$C$5:$C$604,C16)&gt;1,"Fila duplicada","OK")))))))</f>
        <v/>
      </c>
      <c r="K16" s="9"/>
    </row>
    <row r="17" customFormat="false" ht="15" hidden="false" customHeight="false" outlineLevel="0" collapsed="false">
      <c r="A17" s="7"/>
      <c r="B17" s="8"/>
      <c r="C17" s="9"/>
      <c r="D17" s="20"/>
      <c r="E17" s="10"/>
      <c r="F17" s="9"/>
      <c r="G17" s="11" t="str">
        <f aca="false">IF(C17="","",IFERROR(INDEX(Catálogo!$B$5:$B$2000,MATCH(C17,Catálogo!$A$5:$A$2000,0)),""))</f>
        <v/>
      </c>
      <c r="H17" s="11" t="str">
        <f aca="false">IF(C17="","",IFERROR(INDEX(Catálogo!$C$5:$C$2000,MATCH(C17,Catálogo!$A$5:$A$2000,0)),""))</f>
        <v/>
      </c>
      <c r="I17" s="11" t="str">
        <f aca="false">IF(D17="","",IF(D17&gt;UmbralAlarma,"Alarmante",IF(D17&gt;=UmbralRegular,"Regular","Bueno")))</f>
        <v/>
      </c>
      <c r="J17" s="11" t="str">
        <f aca="true">IF(COUNTA(A17:F17)=0,"",IF(OR(A17="",B17="",C17="",D17=""),"Faltan datos",IF(G17="","AP no está en el catálogo",IF(A17&gt;TODAY()+1,"Fecha futura",IF(OR(D17&lt;0,D17&lt;&gt;INT(D17)),"Usuarios no válidos",IF(AND(E17&lt;&gt;"",OR(E17&lt;0,E17&gt;1)),"Utilización fuera de 0-100%",IF(COUNTIFS($A$5:$A$604,A17,$B$5:$B$604,B17,$C$5:$C$604,C17)&gt;1,"Fila duplicada","OK")))))))</f>
        <v/>
      </c>
      <c r="K17" s="9"/>
    </row>
    <row r="18" customFormat="false" ht="15" hidden="false" customHeight="false" outlineLevel="0" collapsed="false">
      <c r="A18" s="7"/>
      <c r="B18" s="8"/>
      <c r="C18" s="9"/>
      <c r="D18" s="20"/>
      <c r="E18" s="10"/>
      <c r="F18" s="9"/>
      <c r="G18" s="11" t="str">
        <f aca="false">IF(C18="","",IFERROR(INDEX(Catálogo!$B$5:$B$2000,MATCH(C18,Catálogo!$A$5:$A$2000,0)),""))</f>
        <v/>
      </c>
      <c r="H18" s="11" t="str">
        <f aca="false">IF(C18="","",IFERROR(INDEX(Catálogo!$C$5:$C$2000,MATCH(C18,Catálogo!$A$5:$A$2000,0)),""))</f>
        <v/>
      </c>
      <c r="I18" s="11" t="str">
        <f aca="false">IF(D18="","",IF(D18&gt;UmbralAlarma,"Alarmante",IF(D18&gt;=UmbralRegular,"Regular","Bueno")))</f>
        <v/>
      </c>
      <c r="J18" s="11" t="str">
        <f aca="true">IF(COUNTA(A18:F18)=0,"",IF(OR(A18="",B18="",C18="",D18=""),"Faltan datos",IF(G18="","AP no está en el catálogo",IF(A18&gt;TODAY()+1,"Fecha futura",IF(OR(D18&lt;0,D18&lt;&gt;INT(D18)),"Usuarios no válidos",IF(AND(E18&lt;&gt;"",OR(E18&lt;0,E18&gt;1)),"Utilización fuera de 0-100%",IF(COUNTIFS($A$5:$A$604,A18,$B$5:$B$604,B18,$C$5:$C$604,C18)&gt;1,"Fila duplicada","OK")))))))</f>
        <v/>
      </c>
      <c r="K18" s="9"/>
    </row>
    <row r="19" customFormat="false" ht="15" hidden="false" customHeight="false" outlineLevel="0" collapsed="false">
      <c r="A19" s="7"/>
      <c r="B19" s="8"/>
      <c r="C19" s="9"/>
      <c r="D19" s="20"/>
      <c r="E19" s="10"/>
      <c r="F19" s="9"/>
      <c r="G19" s="11" t="str">
        <f aca="false">IF(C19="","",IFERROR(INDEX(Catálogo!$B$5:$B$2000,MATCH(C19,Catálogo!$A$5:$A$2000,0)),""))</f>
        <v/>
      </c>
      <c r="H19" s="11" t="str">
        <f aca="false">IF(C19="","",IFERROR(INDEX(Catálogo!$C$5:$C$2000,MATCH(C19,Catálogo!$A$5:$A$2000,0)),""))</f>
        <v/>
      </c>
      <c r="I19" s="11" t="str">
        <f aca="false">IF(D19="","",IF(D19&gt;UmbralAlarma,"Alarmante",IF(D19&gt;=UmbralRegular,"Regular","Bueno")))</f>
        <v/>
      </c>
      <c r="J19" s="11" t="str">
        <f aca="true">IF(COUNTA(A19:F19)=0,"",IF(OR(A19="",B19="",C19="",D19=""),"Faltan datos",IF(G19="","AP no está en el catálogo",IF(A19&gt;TODAY()+1,"Fecha futura",IF(OR(D19&lt;0,D19&lt;&gt;INT(D19)),"Usuarios no válidos",IF(AND(E19&lt;&gt;"",OR(E19&lt;0,E19&gt;1)),"Utilización fuera de 0-100%",IF(COUNTIFS($A$5:$A$604,A19,$B$5:$B$604,B19,$C$5:$C$604,C19)&gt;1,"Fila duplicada","OK")))))))</f>
        <v/>
      </c>
      <c r="K19" s="9"/>
    </row>
    <row r="20" customFormat="false" ht="15" hidden="false" customHeight="false" outlineLevel="0" collapsed="false">
      <c r="A20" s="7"/>
      <c r="B20" s="8"/>
      <c r="C20" s="9"/>
      <c r="D20" s="20"/>
      <c r="E20" s="10"/>
      <c r="F20" s="9"/>
      <c r="G20" s="11" t="str">
        <f aca="false">IF(C20="","",IFERROR(INDEX(Catálogo!$B$5:$B$2000,MATCH(C20,Catálogo!$A$5:$A$2000,0)),""))</f>
        <v/>
      </c>
      <c r="H20" s="11" t="str">
        <f aca="false">IF(C20="","",IFERROR(INDEX(Catálogo!$C$5:$C$2000,MATCH(C20,Catálogo!$A$5:$A$2000,0)),""))</f>
        <v/>
      </c>
      <c r="I20" s="11" t="str">
        <f aca="false">IF(D20="","",IF(D20&gt;UmbralAlarma,"Alarmante",IF(D20&gt;=UmbralRegular,"Regular","Bueno")))</f>
        <v/>
      </c>
      <c r="J20" s="11" t="str">
        <f aca="true">IF(COUNTA(A20:F20)=0,"",IF(OR(A20="",B20="",C20="",D20=""),"Faltan datos",IF(G20="","AP no está en el catálogo",IF(A20&gt;TODAY()+1,"Fecha futura",IF(OR(D20&lt;0,D20&lt;&gt;INT(D20)),"Usuarios no válidos",IF(AND(E20&lt;&gt;"",OR(E20&lt;0,E20&gt;1)),"Utilización fuera de 0-100%",IF(COUNTIFS($A$5:$A$604,A20,$B$5:$B$604,B20,$C$5:$C$604,C20)&gt;1,"Fila duplicada","OK")))))))</f>
        <v/>
      </c>
      <c r="K20" s="9"/>
    </row>
    <row r="21" customFormat="false" ht="15" hidden="false" customHeight="false" outlineLevel="0" collapsed="false">
      <c r="A21" s="7"/>
      <c r="B21" s="8"/>
      <c r="C21" s="9"/>
      <c r="D21" s="20"/>
      <c r="E21" s="10"/>
      <c r="F21" s="9"/>
      <c r="G21" s="11" t="str">
        <f aca="false">IF(C21="","",IFERROR(INDEX(Catálogo!$B$5:$B$2000,MATCH(C21,Catálogo!$A$5:$A$2000,0)),""))</f>
        <v/>
      </c>
      <c r="H21" s="11" t="str">
        <f aca="false">IF(C21="","",IFERROR(INDEX(Catálogo!$C$5:$C$2000,MATCH(C21,Catálogo!$A$5:$A$2000,0)),""))</f>
        <v/>
      </c>
      <c r="I21" s="11" t="str">
        <f aca="false">IF(D21="","",IF(D21&gt;UmbralAlarma,"Alarmante",IF(D21&gt;=UmbralRegular,"Regular","Bueno")))</f>
        <v/>
      </c>
      <c r="J21" s="11" t="str">
        <f aca="true">IF(COUNTA(A21:F21)=0,"",IF(OR(A21="",B21="",C21="",D21=""),"Faltan datos",IF(G21="","AP no está en el catálogo",IF(A21&gt;TODAY()+1,"Fecha futura",IF(OR(D21&lt;0,D21&lt;&gt;INT(D21)),"Usuarios no válidos",IF(AND(E21&lt;&gt;"",OR(E21&lt;0,E21&gt;1)),"Utilización fuera de 0-100%",IF(COUNTIFS($A$5:$A$604,A21,$B$5:$B$604,B21,$C$5:$C$604,C21)&gt;1,"Fila duplicada","OK")))))))</f>
        <v/>
      </c>
      <c r="K21" s="9"/>
    </row>
    <row r="22" customFormat="false" ht="15" hidden="false" customHeight="false" outlineLevel="0" collapsed="false">
      <c r="A22" s="7"/>
      <c r="B22" s="8"/>
      <c r="C22" s="9"/>
      <c r="D22" s="20"/>
      <c r="E22" s="10"/>
      <c r="F22" s="9"/>
      <c r="G22" s="11" t="str">
        <f aca="false">IF(C22="","",IFERROR(INDEX(Catálogo!$B$5:$B$2000,MATCH(C22,Catálogo!$A$5:$A$2000,0)),""))</f>
        <v/>
      </c>
      <c r="H22" s="11" t="str">
        <f aca="false">IF(C22="","",IFERROR(INDEX(Catálogo!$C$5:$C$2000,MATCH(C22,Catálogo!$A$5:$A$2000,0)),""))</f>
        <v/>
      </c>
      <c r="I22" s="11" t="str">
        <f aca="false">IF(D22="","",IF(D22&gt;UmbralAlarma,"Alarmante",IF(D22&gt;=UmbralRegular,"Regular","Bueno")))</f>
        <v/>
      </c>
      <c r="J22" s="11" t="str">
        <f aca="true">IF(COUNTA(A22:F22)=0,"",IF(OR(A22="",B22="",C22="",D22=""),"Faltan datos",IF(G22="","AP no está en el catálogo",IF(A22&gt;TODAY()+1,"Fecha futura",IF(OR(D22&lt;0,D22&lt;&gt;INT(D22)),"Usuarios no válidos",IF(AND(E22&lt;&gt;"",OR(E22&lt;0,E22&gt;1)),"Utilización fuera de 0-100%",IF(COUNTIFS($A$5:$A$604,A22,$B$5:$B$604,B22,$C$5:$C$604,C22)&gt;1,"Fila duplicada","OK")))))))</f>
        <v/>
      </c>
      <c r="K22" s="9"/>
    </row>
    <row r="23" customFormat="false" ht="15" hidden="false" customHeight="false" outlineLevel="0" collapsed="false">
      <c r="A23" s="7"/>
      <c r="B23" s="8"/>
      <c r="C23" s="9"/>
      <c r="D23" s="20"/>
      <c r="E23" s="10"/>
      <c r="F23" s="9"/>
      <c r="G23" s="11" t="str">
        <f aca="false">IF(C23="","",IFERROR(INDEX(Catálogo!$B$5:$B$2000,MATCH(C23,Catálogo!$A$5:$A$2000,0)),""))</f>
        <v/>
      </c>
      <c r="H23" s="11" t="str">
        <f aca="false">IF(C23="","",IFERROR(INDEX(Catálogo!$C$5:$C$2000,MATCH(C23,Catálogo!$A$5:$A$2000,0)),""))</f>
        <v/>
      </c>
      <c r="I23" s="11" t="str">
        <f aca="false">IF(D23="","",IF(D23&gt;UmbralAlarma,"Alarmante",IF(D23&gt;=UmbralRegular,"Regular","Bueno")))</f>
        <v/>
      </c>
      <c r="J23" s="11" t="str">
        <f aca="true">IF(COUNTA(A23:F23)=0,"",IF(OR(A23="",B23="",C23="",D23=""),"Faltan datos",IF(G23="","AP no está en el catálogo",IF(A23&gt;TODAY()+1,"Fecha futura",IF(OR(D23&lt;0,D23&lt;&gt;INT(D23)),"Usuarios no válidos",IF(AND(E23&lt;&gt;"",OR(E23&lt;0,E23&gt;1)),"Utilización fuera de 0-100%",IF(COUNTIFS($A$5:$A$604,A23,$B$5:$B$604,B23,$C$5:$C$604,C23)&gt;1,"Fila duplicada","OK")))))))</f>
        <v/>
      </c>
      <c r="K23" s="9"/>
    </row>
    <row r="24" customFormat="false" ht="15" hidden="false" customHeight="false" outlineLevel="0" collapsed="false">
      <c r="A24" s="7"/>
      <c r="B24" s="8"/>
      <c r="C24" s="9"/>
      <c r="D24" s="20"/>
      <c r="E24" s="10"/>
      <c r="F24" s="9"/>
      <c r="G24" s="11" t="str">
        <f aca="false">IF(C24="","",IFERROR(INDEX(Catálogo!$B$5:$B$2000,MATCH(C24,Catálogo!$A$5:$A$2000,0)),""))</f>
        <v/>
      </c>
      <c r="H24" s="11" t="str">
        <f aca="false">IF(C24="","",IFERROR(INDEX(Catálogo!$C$5:$C$2000,MATCH(C24,Catálogo!$A$5:$A$2000,0)),""))</f>
        <v/>
      </c>
      <c r="I24" s="11" t="str">
        <f aca="false">IF(D24="","",IF(D24&gt;UmbralAlarma,"Alarmante",IF(D24&gt;=UmbralRegular,"Regular","Bueno")))</f>
        <v/>
      </c>
      <c r="J24" s="11" t="str">
        <f aca="true">IF(COUNTA(A24:F24)=0,"",IF(OR(A24="",B24="",C24="",D24=""),"Faltan datos",IF(G24="","AP no está en el catálogo",IF(A24&gt;TODAY()+1,"Fecha futura",IF(OR(D24&lt;0,D24&lt;&gt;INT(D24)),"Usuarios no válidos",IF(AND(E24&lt;&gt;"",OR(E24&lt;0,E24&gt;1)),"Utilización fuera de 0-100%",IF(COUNTIFS($A$5:$A$604,A24,$B$5:$B$604,B24,$C$5:$C$604,C24)&gt;1,"Fila duplicada","OK")))))))</f>
        <v/>
      </c>
      <c r="K24" s="9"/>
    </row>
    <row r="25" customFormat="false" ht="15" hidden="false" customHeight="false" outlineLevel="0" collapsed="false">
      <c r="A25" s="7"/>
      <c r="B25" s="8"/>
      <c r="C25" s="9"/>
      <c r="D25" s="20"/>
      <c r="E25" s="10"/>
      <c r="F25" s="9"/>
      <c r="G25" s="11" t="str">
        <f aca="false">IF(C25="","",IFERROR(INDEX(Catálogo!$B$5:$B$2000,MATCH(C25,Catálogo!$A$5:$A$2000,0)),""))</f>
        <v/>
      </c>
      <c r="H25" s="11" t="str">
        <f aca="false">IF(C25="","",IFERROR(INDEX(Catálogo!$C$5:$C$2000,MATCH(C25,Catálogo!$A$5:$A$2000,0)),""))</f>
        <v/>
      </c>
      <c r="I25" s="11" t="str">
        <f aca="false">IF(D25="","",IF(D25&gt;UmbralAlarma,"Alarmante",IF(D25&gt;=UmbralRegular,"Regular","Bueno")))</f>
        <v/>
      </c>
      <c r="J25" s="11" t="str">
        <f aca="true">IF(COUNTA(A25:F25)=0,"",IF(OR(A25="",B25="",C25="",D25=""),"Faltan datos",IF(G25="","AP no está en el catálogo",IF(A25&gt;TODAY()+1,"Fecha futura",IF(OR(D25&lt;0,D25&lt;&gt;INT(D25)),"Usuarios no válidos",IF(AND(E25&lt;&gt;"",OR(E25&lt;0,E25&gt;1)),"Utilización fuera de 0-100%",IF(COUNTIFS($A$5:$A$604,A25,$B$5:$B$604,B25,$C$5:$C$604,C25)&gt;1,"Fila duplicada","OK")))))))</f>
        <v/>
      </c>
      <c r="K25" s="9"/>
    </row>
    <row r="26" customFormat="false" ht="15" hidden="false" customHeight="false" outlineLevel="0" collapsed="false">
      <c r="A26" s="7"/>
      <c r="B26" s="8"/>
      <c r="C26" s="9"/>
      <c r="D26" s="20"/>
      <c r="E26" s="10"/>
      <c r="F26" s="9"/>
      <c r="G26" s="11" t="str">
        <f aca="false">IF(C26="","",IFERROR(INDEX(Catálogo!$B$5:$B$2000,MATCH(C26,Catálogo!$A$5:$A$2000,0)),""))</f>
        <v/>
      </c>
      <c r="H26" s="11" t="str">
        <f aca="false">IF(C26="","",IFERROR(INDEX(Catálogo!$C$5:$C$2000,MATCH(C26,Catálogo!$A$5:$A$2000,0)),""))</f>
        <v/>
      </c>
      <c r="I26" s="11" t="str">
        <f aca="false">IF(D26="","",IF(D26&gt;UmbralAlarma,"Alarmante",IF(D26&gt;=UmbralRegular,"Regular","Bueno")))</f>
        <v/>
      </c>
      <c r="J26" s="11" t="str">
        <f aca="true">IF(COUNTA(A26:F26)=0,"",IF(OR(A26="",B26="",C26="",D26=""),"Faltan datos",IF(G26="","AP no está en el catálogo",IF(A26&gt;TODAY()+1,"Fecha futura",IF(OR(D26&lt;0,D26&lt;&gt;INT(D26)),"Usuarios no válidos",IF(AND(E26&lt;&gt;"",OR(E26&lt;0,E26&gt;1)),"Utilización fuera de 0-100%",IF(COUNTIFS($A$5:$A$604,A26,$B$5:$B$604,B26,$C$5:$C$604,C26)&gt;1,"Fila duplicada","OK")))))))</f>
        <v/>
      </c>
      <c r="K26" s="9"/>
    </row>
    <row r="27" customFormat="false" ht="15" hidden="false" customHeight="false" outlineLevel="0" collapsed="false">
      <c r="A27" s="7"/>
      <c r="B27" s="8"/>
      <c r="C27" s="9"/>
      <c r="D27" s="20"/>
      <c r="E27" s="10"/>
      <c r="F27" s="9"/>
      <c r="G27" s="11" t="str">
        <f aca="false">IF(C27="","",IFERROR(INDEX(Catálogo!$B$5:$B$2000,MATCH(C27,Catálogo!$A$5:$A$2000,0)),""))</f>
        <v/>
      </c>
      <c r="H27" s="11" t="str">
        <f aca="false">IF(C27="","",IFERROR(INDEX(Catálogo!$C$5:$C$2000,MATCH(C27,Catálogo!$A$5:$A$2000,0)),""))</f>
        <v/>
      </c>
      <c r="I27" s="11" t="str">
        <f aca="false">IF(D27="","",IF(D27&gt;UmbralAlarma,"Alarmante",IF(D27&gt;=UmbralRegular,"Regular","Bueno")))</f>
        <v/>
      </c>
      <c r="J27" s="11" t="str">
        <f aca="true">IF(COUNTA(A27:F27)=0,"",IF(OR(A27="",B27="",C27="",D27=""),"Faltan datos",IF(G27="","AP no está en el catálogo",IF(A27&gt;TODAY()+1,"Fecha futura",IF(OR(D27&lt;0,D27&lt;&gt;INT(D27)),"Usuarios no válidos",IF(AND(E27&lt;&gt;"",OR(E27&lt;0,E27&gt;1)),"Utilización fuera de 0-100%",IF(COUNTIFS($A$5:$A$604,A27,$B$5:$B$604,B27,$C$5:$C$604,C27)&gt;1,"Fila duplicada","OK")))))))</f>
        <v/>
      </c>
      <c r="K27" s="9"/>
    </row>
    <row r="28" customFormat="false" ht="15" hidden="false" customHeight="false" outlineLevel="0" collapsed="false">
      <c r="A28" s="7"/>
      <c r="B28" s="8"/>
      <c r="C28" s="9"/>
      <c r="D28" s="20"/>
      <c r="E28" s="10"/>
      <c r="F28" s="9"/>
      <c r="G28" s="11" t="str">
        <f aca="false">IF(C28="","",IFERROR(INDEX(Catálogo!$B$5:$B$2000,MATCH(C28,Catálogo!$A$5:$A$2000,0)),""))</f>
        <v/>
      </c>
      <c r="H28" s="11" t="str">
        <f aca="false">IF(C28="","",IFERROR(INDEX(Catálogo!$C$5:$C$2000,MATCH(C28,Catálogo!$A$5:$A$2000,0)),""))</f>
        <v/>
      </c>
      <c r="I28" s="11" t="str">
        <f aca="false">IF(D28="","",IF(D28&gt;UmbralAlarma,"Alarmante",IF(D28&gt;=UmbralRegular,"Regular","Bueno")))</f>
        <v/>
      </c>
      <c r="J28" s="11" t="str">
        <f aca="true">IF(COUNTA(A28:F28)=0,"",IF(OR(A28="",B28="",C28="",D28=""),"Faltan datos",IF(G28="","AP no está en el catálogo",IF(A28&gt;TODAY()+1,"Fecha futura",IF(OR(D28&lt;0,D28&lt;&gt;INT(D28)),"Usuarios no válidos",IF(AND(E28&lt;&gt;"",OR(E28&lt;0,E28&gt;1)),"Utilización fuera de 0-100%",IF(COUNTIFS($A$5:$A$604,A28,$B$5:$B$604,B28,$C$5:$C$604,C28)&gt;1,"Fila duplicada","OK")))))))</f>
        <v/>
      </c>
      <c r="K28" s="9"/>
    </row>
    <row r="29" customFormat="false" ht="15" hidden="false" customHeight="false" outlineLevel="0" collapsed="false">
      <c r="A29" s="7"/>
      <c r="B29" s="8"/>
      <c r="C29" s="9"/>
      <c r="D29" s="20"/>
      <c r="E29" s="10"/>
      <c r="F29" s="9"/>
      <c r="G29" s="11" t="str">
        <f aca="false">IF(C29="","",IFERROR(INDEX(Catálogo!$B$5:$B$2000,MATCH(C29,Catálogo!$A$5:$A$2000,0)),""))</f>
        <v/>
      </c>
      <c r="H29" s="11" t="str">
        <f aca="false">IF(C29="","",IFERROR(INDEX(Catálogo!$C$5:$C$2000,MATCH(C29,Catálogo!$A$5:$A$2000,0)),""))</f>
        <v/>
      </c>
      <c r="I29" s="11" t="str">
        <f aca="false">IF(D29="","",IF(D29&gt;UmbralAlarma,"Alarmante",IF(D29&gt;=UmbralRegular,"Regular","Bueno")))</f>
        <v/>
      </c>
      <c r="J29" s="11" t="str">
        <f aca="true">IF(COUNTA(A29:F29)=0,"",IF(OR(A29="",B29="",C29="",D29=""),"Faltan datos",IF(G29="","AP no está en el catálogo",IF(A29&gt;TODAY()+1,"Fecha futura",IF(OR(D29&lt;0,D29&lt;&gt;INT(D29)),"Usuarios no válidos",IF(AND(E29&lt;&gt;"",OR(E29&lt;0,E29&gt;1)),"Utilización fuera de 0-100%",IF(COUNTIFS($A$5:$A$604,A29,$B$5:$B$604,B29,$C$5:$C$604,C29)&gt;1,"Fila duplicada","OK")))))))</f>
        <v/>
      </c>
      <c r="K29" s="9"/>
    </row>
    <row r="30" customFormat="false" ht="15" hidden="false" customHeight="false" outlineLevel="0" collapsed="false">
      <c r="A30" s="7"/>
      <c r="B30" s="8"/>
      <c r="C30" s="9"/>
      <c r="D30" s="20"/>
      <c r="E30" s="10"/>
      <c r="F30" s="9"/>
      <c r="G30" s="11" t="str">
        <f aca="false">IF(C30="","",IFERROR(INDEX(Catálogo!$B$5:$B$2000,MATCH(C30,Catálogo!$A$5:$A$2000,0)),""))</f>
        <v/>
      </c>
      <c r="H30" s="11" t="str">
        <f aca="false">IF(C30="","",IFERROR(INDEX(Catálogo!$C$5:$C$2000,MATCH(C30,Catálogo!$A$5:$A$2000,0)),""))</f>
        <v/>
      </c>
      <c r="I30" s="11" t="str">
        <f aca="false">IF(D30="","",IF(D30&gt;UmbralAlarma,"Alarmante",IF(D30&gt;=UmbralRegular,"Regular","Bueno")))</f>
        <v/>
      </c>
      <c r="J30" s="11" t="str">
        <f aca="true">IF(COUNTA(A30:F30)=0,"",IF(OR(A30="",B30="",C30="",D30=""),"Faltan datos",IF(G30="","AP no está en el catálogo",IF(A30&gt;TODAY()+1,"Fecha futura",IF(OR(D30&lt;0,D30&lt;&gt;INT(D30)),"Usuarios no válidos",IF(AND(E30&lt;&gt;"",OR(E30&lt;0,E30&gt;1)),"Utilización fuera de 0-100%",IF(COUNTIFS($A$5:$A$604,A30,$B$5:$B$604,B30,$C$5:$C$604,C30)&gt;1,"Fila duplicada","OK")))))))</f>
        <v/>
      </c>
      <c r="K30" s="9"/>
    </row>
    <row r="31" customFormat="false" ht="15" hidden="false" customHeight="false" outlineLevel="0" collapsed="false">
      <c r="A31" s="7"/>
      <c r="B31" s="8"/>
      <c r="C31" s="9"/>
      <c r="D31" s="20"/>
      <c r="E31" s="10"/>
      <c r="F31" s="9"/>
      <c r="G31" s="11" t="str">
        <f aca="false">IF(C31="","",IFERROR(INDEX(Catálogo!$B$5:$B$2000,MATCH(C31,Catálogo!$A$5:$A$2000,0)),""))</f>
        <v/>
      </c>
      <c r="H31" s="11" t="str">
        <f aca="false">IF(C31="","",IFERROR(INDEX(Catálogo!$C$5:$C$2000,MATCH(C31,Catálogo!$A$5:$A$2000,0)),""))</f>
        <v/>
      </c>
      <c r="I31" s="11" t="str">
        <f aca="false">IF(D31="","",IF(D31&gt;UmbralAlarma,"Alarmante",IF(D31&gt;=UmbralRegular,"Regular","Bueno")))</f>
        <v/>
      </c>
      <c r="J31" s="11" t="str">
        <f aca="true">IF(COUNTA(A31:F31)=0,"",IF(OR(A31="",B31="",C31="",D31=""),"Faltan datos",IF(G31="","AP no está en el catálogo",IF(A31&gt;TODAY()+1,"Fecha futura",IF(OR(D31&lt;0,D31&lt;&gt;INT(D31)),"Usuarios no válidos",IF(AND(E31&lt;&gt;"",OR(E31&lt;0,E31&gt;1)),"Utilización fuera de 0-100%",IF(COUNTIFS($A$5:$A$604,A31,$B$5:$B$604,B31,$C$5:$C$604,C31)&gt;1,"Fila duplicada","OK")))))))</f>
        <v/>
      </c>
      <c r="K31" s="9"/>
    </row>
    <row r="32" customFormat="false" ht="15" hidden="false" customHeight="false" outlineLevel="0" collapsed="false">
      <c r="A32" s="7"/>
      <c r="B32" s="8"/>
      <c r="C32" s="9"/>
      <c r="D32" s="20"/>
      <c r="E32" s="10"/>
      <c r="F32" s="9"/>
      <c r="G32" s="11" t="str">
        <f aca="false">IF(C32="","",IFERROR(INDEX(Catálogo!$B$5:$B$2000,MATCH(C32,Catálogo!$A$5:$A$2000,0)),""))</f>
        <v/>
      </c>
      <c r="H32" s="11" t="str">
        <f aca="false">IF(C32="","",IFERROR(INDEX(Catálogo!$C$5:$C$2000,MATCH(C32,Catálogo!$A$5:$A$2000,0)),""))</f>
        <v/>
      </c>
      <c r="I32" s="11" t="str">
        <f aca="false">IF(D32="","",IF(D32&gt;UmbralAlarma,"Alarmante",IF(D32&gt;=UmbralRegular,"Regular","Bueno")))</f>
        <v/>
      </c>
      <c r="J32" s="11" t="str">
        <f aca="true">IF(COUNTA(A32:F32)=0,"",IF(OR(A32="",B32="",C32="",D32=""),"Faltan datos",IF(G32="","AP no está en el catálogo",IF(A32&gt;TODAY()+1,"Fecha futura",IF(OR(D32&lt;0,D32&lt;&gt;INT(D32)),"Usuarios no válidos",IF(AND(E32&lt;&gt;"",OR(E32&lt;0,E32&gt;1)),"Utilización fuera de 0-100%",IF(COUNTIFS($A$5:$A$604,A32,$B$5:$B$604,B32,$C$5:$C$604,C32)&gt;1,"Fila duplicada","OK")))))))</f>
        <v/>
      </c>
      <c r="K32" s="9"/>
    </row>
    <row r="33" customFormat="false" ht="15" hidden="false" customHeight="false" outlineLevel="0" collapsed="false">
      <c r="A33" s="7"/>
      <c r="B33" s="8"/>
      <c r="C33" s="9"/>
      <c r="D33" s="20"/>
      <c r="E33" s="10"/>
      <c r="F33" s="9"/>
      <c r="G33" s="11" t="str">
        <f aca="false">IF(C33="","",IFERROR(INDEX(Catálogo!$B$5:$B$2000,MATCH(C33,Catálogo!$A$5:$A$2000,0)),""))</f>
        <v/>
      </c>
      <c r="H33" s="11" t="str">
        <f aca="false">IF(C33="","",IFERROR(INDEX(Catálogo!$C$5:$C$2000,MATCH(C33,Catálogo!$A$5:$A$2000,0)),""))</f>
        <v/>
      </c>
      <c r="I33" s="11" t="str">
        <f aca="false">IF(D33="","",IF(D33&gt;UmbralAlarma,"Alarmante",IF(D33&gt;=UmbralRegular,"Regular","Bueno")))</f>
        <v/>
      </c>
      <c r="J33" s="11" t="str">
        <f aca="true">IF(COUNTA(A33:F33)=0,"",IF(OR(A33="",B33="",C33="",D33=""),"Faltan datos",IF(G33="","AP no está en el catálogo",IF(A33&gt;TODAY()+1,"Fecha futura",IF(OR(D33&lt;0,D33&lt;&gt;INT(D33)),"Usuarios no válidos",IF(AND(E33&lt;&gt;"",OR(E33&lt;0,E33&gt;1)),"Utilización fuera de 0-100%",IF(COUNTIFS($A$5:$A$604,A33,$B$5:$B$604,B33,$C$5:$C$604,C33)&gt;1,"Fila duplicada","OK")))))))</f>
        <v/>
      </c>
      <c r="K33" s="9"/>
    </row>
    <row r="34" customFormat="false" ht="15" hidden="false" customHeight="false" outlineLevel="0" collapsed="false">
      <c r="A34" s="7"/>
      <c r="B34" s="8"/>
      <c r="C34" s="9"/>
      <c r="D34" s="20"/>
      <c r="E34" s="10"/>
      <c r="F34" s="9"/>
      <c r="G34" s="11" t="str">
        <f aca="false">IF(C34="","",IFERROR(INDEX(Catálogo!$B$5:$B$2000,MATCH(C34,Catálogo!$A$5:$A$2000,0)),""))</f>
        <v/>
      </c>
      <c r="H34" s="11" t="str">
        <f aca="false">IF(C34="","",IFERROR(INDEX(Catálogo!$C$5:$C$2000,MATCH(C34,Catálogo!$A$5:$A$2000,0)),""))</f>
        <v/>
      </c>
      <c r="I34" s="11" t="str">
        <f aca="false">IF(D34="","",IF(D34&gt;UmbralAlarma,"Alarmante",IF(D34&gt;=UmbralRegular,"Regular","Bueno")))</f>
        <v/>
      </c>
      <c r="J34" s="11" t="str">
        <f aca="true">IF(COUNTA(A34:F34)=0,"",IF(OR(A34="",B34="",C34="",D34=""),"Faltan datos",IF(G34="","AP no está en el catálogo",IF(A34&gt;TODAY()+1,"Fecha futura",IF(OR(D34&lt;0,D34&lt;&gt;INT(D34)),"Usuarios no válidos",IF(AND(E34&lt;&gt;"",OR(E34&lt;0,E34&gt;1)),"Utilización fuera de 0-100%",IF(COUNTIFS($A$5:$A$604,A34,$B$5:$B$604,B34,$C$5:$C$604,C34)&gt;1,"Fila duplicada","OK")))))))</f>
        <v/>
      </c>
      <c r="K34" s="9"/>
    </row>
    <row r="35" customFormat="false" ht="15" hidden="false" customHeight="false" outlineLevel="0" collapsed="false">
      <c r="A35" s="7"/>
      <c r="B35" s="8"/>
      <c r="C35" s="9"/>
      <c r="D35" s="20"/>
      <c r="E35" s="10"/>
      <c r="F35" s="9"/>
      <c r="G35" s="11" t="str">
        <f aca="false">IF(C35="","",IFERROR(INDEX(Catálogo!$B$5:$B$2000,MATCH(C35,Catálogo!$A$5:$A$2000,0)),""))</f>
        <v/>
      </c>
      <c r="H35" s="11" t="str">
        <f aca="false">IF(C35="","",IFERROR(INDEX(Catálogo!$C$5:$C$2000,MATCH(C35,Catálogo!$A$5:$A$2000,0)),""))</f>
        <v/>
      </c>
      <c r="I35" s="11" t="str">
        <f aca="false">IF(D35="","",IF(D35&gt;UmbralAlarma,"Alarmante",IF(D35&gt;=UmbralRegular,"Regular","Bueno")))</f>
        <v/>
      </c>
      <c r="J35" s="11" t="str">
        <f aca="true">IF(COUNTA(A35:F35)=0,"",IF(OR(A35="",B35="",C35="",D35=""),"Faltan datos",IF(G35="","AP no está en el catálogo",IF(A35&gt;TODAY()+1,"Fecha futura",IF(OR(D35&lt;0,D35&lt;&gt;INT(D35)),"Usuarios no válidos",IF(AND(E35&lt;&gt;"",OR(E35&lt;0,E35&gt;1)),"Utilización fuera de 0-100%",IF(COUNTIFS($A$5:$A$604,A35,$B$5:$B$604,B35,$C$5:$C$604,C35)&gt;1,"Fila duplicada","OK")))))))</f>
        <v/>
      </c>
      <c r="K35" s="9"/>
    </row>
    <row r="36" customFormat="false" ht="15" hidden="false" customHeight="false" outlineLevel="0" collapsed="false">
      <c r="A36" s="7"/>
      <c r="B36" s="8"/>
      <c r="C36" s="9"/>
      <c r="D36" s="20"/>
      <c r="E36" s="10"/>
      <c r="F36" s="9"/>
      <c r="G36" s="11" t="str">
        <f aca="false">IF(C36="","",IFERROR(INDEX(Catálogo!$B$5:$B$2000,MATCH(C36,Catálogo!$A$5:$A$2000,0)),""))</f>
        <v/>
      </c>
      <c r="H36" s="11" t="str">
        <f aca="false">IF(C36="","",IFERROR(INDEX(Catálogo!$C$5:$C$2000,MATCH(C36,Catálogo!$A$5:$A$2000,0)),""))</f>
        <v/>
      </c>
      <c r="I36" s="11" t="str">
        <f aca="false">IF(D36="","",IF(D36&gt;UmbralAlarma,"Alarmante",IF(D36&gt;=UmbralRegular,"Regular","Bueno")))</f>
        <v/>
      </c>
      <c r="J36" s="11" t="str">
        <f aca="true">IF(COUNTA(A36:F36)=0,"",IF(OR(A36="",B36="",C36="",D36=""),"Faltan datos",IF(G36="","AP no está en el catálogo",IF(A36&gt;TODAY()+1,"Fecha futura",IF(OR(D36&lt;0,D36&lt;&gt;INT(D36)),"Usuarios no válidos",IF(AND(E36&lt;&gt;"",OR(E36&lt;0,E36&gt;1)),"Utilización fuera de 0-100%",IF(COUNTIFS($A$5:$A$604,A36,$B$5:$B$604,B36,$C$5:$C$604,C36)&gt;1,"Fila duplicada","OK")))))))</f>
        <v/>
      </c>
      <c r="K36" s="9"/>
    </row>
    <row r="37" customFormat="false" ht="15" hidden="false" customHeight="false" outlineLevel="0" collapsed="false">
      <c r="A37" s="7"/>
      <c r="B37" s="8"/>
      <c r="C37" s="9"/>
      <c r="D37" s="20"/>
      <c r="E37" s="10"/>
      <c r="F37" s="9"/>
      <c r="G37" s="11" t="str">
        <f aca="false">IF(C37="","",IFERROR(INDEX(Catálogo!$B$5:$B$2000,MATCH(C37,Catálogo!$A$5:$A$2000,0)),""))</f>
        <v/>
      </c>
      <c r="H37" s="11" t="str">
        <f aca="false">IF(C37="","",IFERROR(INDEX(Catálogo!$C$5:$C$2000,MATCH(C37,Catálogo!$A$5:$A$2000,0)),""))</f>
        <v/>
      </c>
      <c r="I37" s="11" t="str">
        <f aca="false">IF(D37="","",IF(D37&gt;UmbralAlarma,"Alarmante",IF(D37&gt;=UmbralRegular,"Regular","Bueno")))</f>
        <v/>
      </c>
      <c r="J37" s="11" t="str">
        <f aca="true">IF(COUNTA(A37:F37)=0,"",IF(OR(A37="",B37="",C37="",D37=""),"Faltan datos",IF(G37="","AP no está en el catálogo",IF(A37&gt;TODAY()+1,"Fecha futura",IF(OR(D37&lt;0,D37&lt;&gt;INT(D37)),"Usuarios no válidos",IF(AND(E37&lt;&gt;"",OR(E37&lt;0,E37&gt;1)),"Utilización fuera de 0-100%",IF(COUNTIFS($A$5:$A$604,A37,$B$5:$B$604,B37,$C$5:$C$604,C37)&gt;1,"Fila duplicada","OK")))))))</f>
        <v/>
      </c>
      <c r="K37" s="9"/>
    </row>
    <row r="38" customFormat="false" ht="15" hidden="false" customHeight="false" outlineLevel="0" collapsed="false">
      <c r="A38" s="7"/>
      <c r="B38" s="8"/>
      <c r="C38" s="9"/>
      <c r="D38" s="20"/>
      <c r="E38" s="10"/>
      <c r="F38" s="9"/>
      <c r="G38" s="11" t="str">
        <f aca="false">IF(C38="","",IFERROR(INDEX(Catálogo!$B$5:$B$2000,MATCH(C38,Catálogo!$A$5:$A$2000,0)),""))</f>
        <v/>
      </c>
      <c r="H38" s="11" t="str">
        <f aca="false">IF(C38="","",IFERROR(INDEX(Catálogo!$C$5:$C$2000,MATCH(C38,Catálogo!$A$5:$A$2000,0)),""))</f>
        <v/>
      </c>
      <c r="I38" s="11" t="str">
        <f aca="false">IF(D38="","",IF(D38&gt;UmbralAlarma,"Alarmante",IF(D38&gt;=UmbralRegular,"Regular","Bueno")))</f>
        <v/>
      </c>
      <c r="J38" s="11" t="str">
        <f aca="true">IF(COUNTA(A38:F38)=0,"",IF(OR(A38="",B38="",C38="",D38=""),"Faltan datos",IF(G38="","AP no está en el catálogo",IF(A38&gt;TODAY()+1,"Fecha futura",IF(OR(D38&lt;0,D38&lt;&gt;INT(D38)),"Usuarios no válidos",IF(AND(E38&lt;&gt;"",OR(E38&lt;0,E38&gt;1)),"Utilización fuera de 0-100%",IF(COUNTIFS($A$5:$A$604,A38,$B$5:$B$604,B38,$C$5:$C$604,C38)&gt;1,"Fila duplicada","OK")))))))</f>
        <v/>
      </c>
      <c r="K38" s="9"/>
    </row>
    <row r="39" customFormat="false" ht="15" hidden="false" customHeight="false" outlineLevel="0" collapsed="false">
      <c r="A39" s="7"/>
      <c r="B39" s="8"/>
      <c r="C39" s="9"/>
      <c r="D39" s="20"/>
      <c r="E39" s="10"/>
      <c r="F39" s="9"/>
      <c r="G39" s="11" t="str">
        <f aca="false">IF(C39="","",IFERROR(INDEX(Catálogo!$B$5:$B$2000,MATCH(C39,Catálogo!$A$5:$A$2000,0)),""))</f>
        <v/>
      </c>
      <c r="H39" s="11" t="str">
        <f aca="false">IF(C39="","",IFERROR(INDEX(Catálogo!$C$5:$C$2000,MATCH(C39,Catálogo!$A$5:$A$2000,0)),""))</f>
        <v/>
      </c>
      <c r="I39" s="11" t="str">
        <f aca="false">IF(D39="","",IF(D39&gt;UmbralAlarma,"Alarmante",IF(D39&gt;=UmbralRegular,"Regular","Bueno")))</f>
        <v/>
      </c>
      <c r="J39" s="11" t="str">
        <f aca="true">IF(COUNTA(A39:F39)=0,"",IF(OR(A39="",B39="",C39="",D39=""),"Faltan datos",IF(G39="","AP no está en el catálogo",IF(A39&gt;TODAY()+1,"Fecha futura",IF(OR(D39&lt;0,D39&lt;&gt;INT(D39)),"Usuarios no válidos",IF(AND(E39&lt;&gt;"",OR(E39&lt;0,E39&gt;1)),"Utilización fuera de 0-100%",IF(COUNTIFS($A$5:$A$604,A39,$B$5:$B$604,B39,$C$5:$C$604,C39)&gt;1,"Fila duplicada","OK")))))))</f>
        <v/>
      </c>
      <c r="K39" s="9"/>
    </row>
    <row r="40" customFormat="false" ht="15" hidden="false" customHeight="false" outlineLevel="0" collapsed="false">
      <c r="A40" s="7"/>
      <c r="B40" s="8"/>
      <c r="C40" s="9"/>
      <c r="D40" s="20"/>
      <c r="E40" s="10"/>
      <c r="F40" s="9"/>
      <c r="G40" s="11" t="str">
        <f aca="false">IF(C40="","",IFERROR(INDEX(Catálogo!$B$5:$B$2000,MATCH(C40,Catálogo!$A$5:$A$2000,0)),""))</f>
        <v/>
      </c>
      <c r="H40" s="11" t="str">
        <f aca="false">IF(C40="","",IFERROR(INDEX(Catálogo!$C$5:$C$2000,MATCH(C40,Catálogo!$A$5:$A$2000,0)),""))</f>
        <v/>
      </c>
      <c r="I40" s="11" t="str">
        <f aca="false">IF(D40="","",IF(D40&gt;UmbralAlarma,"Alarmante",IF(D40&gt;=UmbralRegular,"Regular","Bueno")))</f>
        <v/>
      </c>
      <c r="J40" s="11" t="str">
        <f aca="true">IF(COUNTA(A40:F40)=0,"",IF(OR(A40="",B40="",C40="",D40=""),"Faltan datos",IF(G40="","AP no está en el catálogo",IF(A40&gt;TODAY()+1,"Fecha futura",IF(OR(D40&lt;0,D40&lt;&gt;INT(D40)),"Usuarios no válidos",IF(AND(E40&lt;&gt;"",OR(E40&lt;0,E40&gt;1)),"Utilización fuera de 0-100%",IF(COUNTIFS($A$5:$A$604,A40,$B$5:$B$604,B40,$C$5:$C$604,C40)&gt;1,"Fila duplicada","OK")))))))</f>
        <v/>
      </c>
      <c r="K40" s="9"/>
    </row>
    <row r="41" customFormat="false" ht="15" hidden="false" customHeight="false" outlineLevel="0" collapsed="false">
      <c r="A41" s="7"/>
      <c r="B41" s="8"/>
      <c r="C41" s="9"/>
      <c r="D41" s="20"/>
      <c r="E41" s="10"/>
      <c r="F41" s="9"/>
      <c r="G41" s="11" t="str">
        <f aca="false">IF(C41="","",IFERROR(INDEX(Catálogo!$B$5:$B$2000,MATCH(C41,Catálogo!$A$5:$A$2000,0)),""))</f>
        <v/>
      </c>
      <c r="H41" s="11" t="str">
        <f aca="false">IF(C41="","",IFERROR(INDEX(Catálogo!$C$5:$C$2000,MATCH(C41,Catálogo!$A$5:$A$2000,0)),""))</f>
        <v/>
      </c>
      <c r="I41" s="11" t="str">
        <f aca="false">IF(D41="","",IF(D41&gt;UmbralAlarma,"Alarmante",IF(D41&gt;=UmbralRegular,"Regular","Bueno")))</f>
        <v/>
      </c>
      <c r="J41" s="11" t="str">
        <f aca="true">IF(COUNTA(A41:F41)=0,"",IF(OR(A41="",B41="",C41="",D41=""),"Faltan datos",IF(G41="","AP no está en el catálogo",IF(A41&gt;TODAY()+1,"Fecha futura",IF(OR(D41&lt;0,D41&lt;&gt;INT(D41)),"Usuarios no válidos",IF(AND(E41&lt;&gt;"",OR(E41&lt;0,E41&gt;1)),"Utilización fuera de 0-100%",IF(COUNTIFS($A$5:$A$604,A41,$B$5:$B$604,B41,$C$5:$C$604,C41)&gt;1,"Fila duplicada","OK")))))))</f>
        <v/>
      </c>
      <c r="K41" s="9"/>
    </row>
    <row r="42" customFormat="false" ht="15" hidden="false" customHeight="false" outlineLevel="0" collapsed="false">
      <c r="A42" s="7"/>
      <c r="B42" s="8"/>
      <c r="C42" s="9"/>
      <c r="D42" s="20"/>
      <c r="E42" s="10"/>
      <c r="F42" s="9"/>
      <c r="G42" s="11" t="str">
        <f aca="false">IF(C42="","",IFERROR(INDEX(Catálogo!$B$5:$B$2000,MATCH(C42,Catálogo!$A$5:$A$2000,0)),""))</f>
        <v/>
      </c>
      <c r="H42" s="11" t="str">
        <f aca="false">IF(C42="","",IFERROR(INDEX(Catálogo!$C$5:$C$2000,MATCH(C42,Catálogo!$A$5:$A$2000,0)),""))</f>
        <v/>
      </c>
      <c r="I42" s="11" t="str">
        <f aca="false">IF(D42="","",IF(D42&gt;UmbralAlarma,"Alarmante",IF(D42&gt;=UmbralRegular,"Regular","Bueno")))</f>
        <v/>
      </c>
      <c r="J42" s="11" t="str">
        <f aca="true">IF(COUNTA(A42:F42)=0,"",IF(OR(A42="",B42="",C42="",D42=""),"Faltan datos",IF(G42="","AP no está en el catálogo",IF(A42&gt;TODAY()+1,"Fecha futura",IF(OR(D42&lt;0,D42&lt;&gt;INT(D42)),"Usuarios no válidos",IF(AND(E42&lt;&gt;"",OR(E42&lt;0,E42&gt;1)),"Utilización fuera de 0-100%",IF(COUNTIFS($A$5:$A$604,A42,$B$5:$B$604,B42,$C$5:$C$604,C42)&gt;1,"Fila duplicada","OK")))))))</f>
        <v/>
      </c>
      <c r="K42" s="9"/>
    </row>
    <row r="43" customFormat="false" ht="15" hidden="false" customHeight="false" outlineLevel="0" collapsed="false">
      <c r="A43" s="7"/>
      <c r="B43" s="8"/>
      <c r="C43" s="9"/>
      <c r="D43" s="20"/>
      <c r="E43" s="10"/>
      <c r="F43" s="9"/>
      <c r="G43" s="11" t="str">
        <f aca="false">IF(C43="","",IFERROR(INDEX(Catálogo!$B$5:$B$2000,MATCH(C43,Catálogo!$A$5:$A$2000,0)),""))</f>
        <v/>
      </c>
      <c r="H43" s="11" t="str">
        <f aca="false">IF(C43="","",IFERROR(INDEX(Catálogo!$C$5:$C$2000,MATCH(C43,Catálogo!$A$5:$A$2000,0)),""))</f>
        <v/>
      </c>
      <c r="I43" s="11" t="str">
        <f aca="false">IF(D43="","",IF(D43&gt;UmbralAlarma,"Alarmante",IF(D43&gt;=UmbralRegular,"Regular","Bueno")))</f>
        <v/>
      </c>
      <c r="J43" s="11" t="str">
        <f aca="true">IF(COUNTA(A43:F43)=0,"",IF(OR(A43="",B43="",C43="",D43=""),"Faltan datos",IF(G43="","AP no está en el catálogo",IF(A43&gt;TODAY()+1,"Fecha futura",IF(OR(D43&lt;0,D43&lt;&gt;INT(D43)),"Usuarios no válidos",IF(AND(E43&lt;&gt;"",OR(E43&lt;0,E43&gt;1)),"Utilización fuera de 0-100%",IF(COUNTIFS($A$5:$A$604,A43,$B$5:$B$604,B43,$C$5:$C$604,C43)&gt;1,"Fila duplicada","OK")))))))</f>
        <v/>
      </c>
      <c r="K43" s="9"/>
    </row>
    <row r="44" customFormat="false" ht="15" hidden="false" customHeight="false" outlineLevel="0" collapsed="false">
      <c r="A44" s="7"/>
      <c r="B44" s="8"/>
      <c r="C44" s="9"/>
      <c r="D44" s="20"/>
      <c r="E44" s="10"/>
      <c r="F44" s="9"/>
      <c r="G44" s="11" t="str">
        <f aca="false">IF(C44="","",IFERROR(INDEX(Catálogo!$B$5:$B$2000,MATCH(C44,Catálogo!$A$5:$A$2000,0)),""))</f>
        <v/>
      </c>
      <c r="H44" s="11" t="str">
        <f aca="false">IF(C44="","",IFERROR(INDEX(Catálogo!$C$5:$C$2000,MATCH(C44,Catálogo!$A$5:$A$2000,0)),""))</f>
        <v/>
      </c>
      <c r="I44" s="11" t="str">
        <f aca="false">IF(D44="","",IF(D44&gt;UmbralAlarma,"Alarmante",IF(D44&gt;=UmbralRegular,"Regular","Bueno")))</f>
        <v/>
      </c>
      <c r="J44" s="11" t="str">
        <f aca="true">IF(COUNTA(A44:F44)=0,"",IF(OR(A44="",B44="",C44="",D44=""),"Faltan datos",IF(G44="","AP no está en el catálogo",IF(A44&gt;TODAY()+1,"Fecha futura",IF(OR(D44&lt;0,D44&lt;&gt;INT(D44)),"Usuarios no válidos",IF(AND(E44&lt;&gt;"",OR(E44&lt;0,E44&gt;1)),"Utilización fuera de 0-100%",IF(COUNTIFS($A$5:$A$604,A44,$B$5:$B$604,B44,$C$5:$C$604,C44)&gt;1,"Fila duplicada","OK")))))))</f>
        <v/>
      </c>
      <c r="K44" s="9"/>
    </row>
    <row r="45" customFormat="false" ht="15" hidden="false" customHeight="false" outlineLevel="0" collapsed="false">
      <c r="A45" s="7"/>
      <c r="B45" s="8"/>
      <c r="C45" s="9"/>
      <c r="D45" s="20"/>
      <c r="E45" s="10"/>
      <c r="F45" s="9"/>
      <c r="G45" s="11" t="str">
        <f aca="false">IF(C45="","",IFERROR(INDEX(Catálogo!$B$5:$B$2000,MATCH(C45,Catálogo!$A$5:$A$2000,0)),""))</f>
        <v/>
      </c>
      <c r="H45" s="11" t="str">
        <f aca="false">IF(C45="","",IFERROR(INDEX(Catálogo!$C$5:$C$2000,MATCH(C45,Catálogo!$A$5:$A$2000,0)),""))</f>
        <v/>
      </c>
      <c r="I45" s="11" t="str">
        <f aca="false">IF(D45="","",IF(D45&gt;UmbralAlarma,"Alarmante",IF(D45&gt;=UmbralRegular,"Regular","Bueno")))</f>
        <v/>
      </c>
      <c r="J45" s="11" t="str">
        <f aca="true">IF(COUNTA(A45:F45)=0,"",IF(OR(A45="",B45="",C45="",D45=""),"Faltan datos",IF(G45="","AP no está en el catálogo",IF(A45&gt;TODAY()+1,"Fecha futura",IF(OR(D45&lt;0,D45&lt;&gt;INT(D45)),"Usuarios no válidos",IF(AND(E45&lt;&gt;"",OR(E45&lt;0,E45&gt;1)),"Utilización fuera de 0-100%",IF(COUNTIFS($A$5:$A$604,A45,$B$5:$B$604,B45,$C$5:$C$604,C45)&gt;1,"Fila duplicada","OK")))))))</f>
        <v/>
      </c>
      <c r="K45" s="9"/>
    </row>
    <row r="46" customFormat="false" ht="15" hidden="false" customHeight="false" outlineLevel="0" collapsed="false">
      <c r="A46" s="7"/>
      <c r="B46" s="8"/>
      <c r="C46" s="9"/>
      <c r="D46" s="20"/>
      <c r="E46" s="10"/>
      <c r="F46" s="9"/>
      <c r="G46" s="11" t="str">
        <f aca="false">IF(C46="","",IFERROR(INDEX(Catálogo!$B$5:$B$2000,MATCH(C46,Catálogo!$A$5:$A$2000,0)),""))</f>
        <v/>
      </c>
      <c r="H46" s="11" t="str">
        <f aca="false">IF(C46="","",IFERROR(INDEX(Catálogo!$C$5:$C$2000,MATCH(C46,Catálogo!$A$5:$A$2000,0)),""))</f>
        <v/>
      </c>
      <c r="I46" s="11" t="str">
        <f aca="false">IF(D46="","",IF(D46&gt;UmbralAlarma,"Alarmante",IF(D46&gt;=UmbralRegular,"Regular","Bueno")))</f>
        <v/>
      </c>
      <c r="J46" s="11" t="str">
        <f aca="true">IF(COUNTA(A46:F46)=0,"",IF(OR(A46="",B46="",C46="",D46=""),"Faltan datos",IF(G46="","AP no está en el catálogo",IF(A46&gt;TODAY()+1,"Fecha futura",IF(OR(D46&lt;0,D46&lt;&gt;INT(D46)),"Usuarios no válidos",IF(AND(E46&lt;&gt;"",OR(E46&lt;0,E46&gt;1)),"Utilización fuera de 0-100%",IF(COUNTIFS($A$5:$A$604,A46,$B$5:$B$604,B46,$C$5:$C$604,C46)&gt;1,"Fila duplicada","OK")))))))</f>
        <v/>
      </c>
      <c r="K46" s="9"/>
    </row>
    <row r="47" customFormat="false" ht="15" hidden="false" customHeight="false" outlineLevel="0" collapsed="false">
      <c r="A47" s="7"/>
      <c r="B47" s="8"/>
      <c r="C47" s="9"/>
      <c r="D47" s="20"/>
      <c r="E47" s="10"/>
      <c r="F47" s="9"/>
      <c r="G47" s="11" t="str">
        <f aca="false">IF(C47="","",IFERROR(INDEX(Catálogo!$B$5:$B$2000,MATCH(C47,Catálogo!$A$5:$A$2000,0)),""))</f>
        <v/>
      </c>
      <c r="H47" s="11" t="str">
        <f aca="false">IF(C47="","",IFERROR(INDEX(Catálogo!$C$5:$C$2000,MATCH(C47,Catálogo!$A$5:$A$2000,0)),""))</f>
        <v/>
      </c>
      <c r="I47" s="11" t="str">
        <f aca="false">IF(D47="","",IF(D47&gt;UmbralAlarma,"Alarmante",IF(D47&gt;=UmbralRegular,"Regular","Bueno")))</f>
        <v/>
      </c>
      <c r="J47" s="11" t="str">
        <f aca="true">IF(COUNTA(A47:F47)=0,"",IF(OR(A47="",B47="",C47="",D47=""),"Faltan datos",IF(G47="","AP no está en el catálogo",IF(A47&gt;TODAY()+1,"Fecha futura",IF(OR(D47&lt;0,D47&lt;&gt;INT(D47)),"Usuarios no válidos",IF(AND(E47&lt;&gt;"",OR(E47&lt;0,E47&gt;1)),"Utilización fuera de 0-100%",IF(COUNTIFS($A$5:$A$604,A47,$B$5:$B$604,B47,$C$5:$C$604,C47)&gt;1,"Fila duplicada","OK")))))))</f>
        <v/>
      </c>
      <c r="K47" s="9"/>
    </row>
    <row r="48" customFormat="false" ht="15" hidden="false" customHeight="false" outlineLevel="0" collapsed="false">
      <c r="A48" s="7"/>
      <c r="B48" s="8"/>
      <c r="C48" s="9"/>
      <c r="D48" s="20"/>
      <c r="E48" s="10"/>
      <c r="F48" s="9"/>
      <c r="G48" s="11" t="str">
        <f aca="false">IF(C48="","",IFERROR(INDEX(Catálogo!$B$5:$B$2000,MATCH(C48,Catálogo!$A$5:$A$2000,0)),""))</f>
        <v/>
      </c>
      <c r="H48" s="11" t="str">
        <f aca="false">IF(C48="","",IFERROR(INDEX(Catálogo!$C$5:$C$2000,MATCH(C48,Catálogo!$A$5:$A$2000,0)),""))</f>
        <v/>
      </c>
      <c r="I48" s="11" t="str">
        <f aca="false">IF(D48="","",IF(D48&gt;UmbralAlarma,"Alarmante",IF(D48&gt;=UmbralRegular,"Regular","Bueno")))</f>
        <v/>
      </c>
      <c r="J48" s="11" t="str">
        <f aca="true">IF(COUNTA(A48:F48)=0,"",IF(OR(A48="",B48="",C48="",D48=""),"Faltan datos",IF(G48="","AP no está en el catálogo",IF(A48&gt;TODAY()+1,"Fecha futura",IF(OR(D48&lt;0,D48&lt;&gt;INT(D48)),"Usuarios no válidos",IF(AND(E48&lt;&gt;"",OR(E48&lt;0,E48&gt;1)),"Utilización fuera de 0-100%",IF(COUNTIFS($A$5:$A$604,A48,$B$5:$B$604,B48,$C$5:$C$604,C48)&gt;1,"Fila duplicada","OK")))))))</f>
        <v/>
      </c>
      <c r="K48" s="9"/>
    </row>
    <row r="49" customFormat="false" ht="15" hidden="false" customHeight="false" outlineLevel="0" collapsed="false">
      <c r="A49" s="7"/>
      <c r="B49" s="8"/>
      <c r="C49" s="9"/>
      <c r="D49" s="20"/>
      <c r="E49" s="10"/>
      <c r="F49" s="9"/>
      <c r="G49" s="11" t="str">
        <f aca="false">IF(C49="","",IFERROR(INDEX(Catálogo!$B$5:$B$2000,MATCH(C49,Catálogo!$A$5:$A$2000,0)),""))</f>
        <v/>
      </c>
      <c r="H49" s="11" t="str">
        <f aca="false">IF(C49="","",IFERROR(INDEX(Catálogo!$C$5:$C$2000,MATCH(C49,Catálogo!$A$5:$A$2000,0)),""))</f>
        <v/>
      </c>
      <c r="I49" s="11" t="str">
        <f aca="false">IF(D49="","",IF(D49&gt;UmbralAlarma,"Alarmante",IF(D49&gt;=UmbralRegular,"Regular","Bueno")))</f>
        <v/>
      </c>
      <c r="J49" s="11" t="str">
        <f aca="true">IF(COUNTA(A49:F49)=0,"",IF(OR(A49="",B49="",C49="",D49=""),"Faltan datos",IF(G49="","AP no está en el catálogo",IF(A49&gt;TODAY()+1,"Fecha futura",IF(OR(D49&lt;0,D49&lt;&gt;INT(D49)),"Usuarios no válidos",IF(AND(E49&lt;&gt;"",OR(E49&lt;0,E49&gt;1)),"Utilización fuera de 0-100%",IF(COUNTIFS($A$5:$A$604,A49,$B$5:$B$604,B49,$C$5:$C$604,C49)&gt;1,"Fila duplicada","OK")))))))</f>
        <v/>
      </c>
      <c r="K49" s="9"/>
    </row>
    <row r="50" customFormat="false" ht="15" hidden="false" customHeight="false" outlineLevel="0" collapsed="false">
      <c r="A50" s="7"/>
      <c r="B50" s="8"/>
      <c r="C50" s="9"/>
      <c r="D50" s="20"/>
      <c r="E50" s="10"/>
      <c r="F50" s="9"/>
      <c r="G50" s="11" t="str">
        <f aca="false">IF(C50="","",IFERROR(INDEX(Catálogo!$B$5:$B$2000,MATCH(C50,Catálogo!$A$5:$A$2000,0)),""))</f>
        <v/>
      </c>
      <c r="H50" s="11" t="str">
        <f aca="false">IF(C50="","",IFERROR(INDEX(Catálogo!$C$5:$C$2000,MATCH(C50,Catálogo!$A$5:$A$2000,0)),""))</f>
        <v/>
      </c>
      <c r="I50" s="11" t="str">
        <f aca="false">IF(D50="","",IF(D50&gt;UmbralAlarma,"Alarmante",IF(D50&gt;=UmbralRegular,"Regular","Bueno")))</f>
        <v/>
      </c>
      <c r="J50" s="11" t="str">
        <f aca="true">IF(COUNTA(A50:F50)=0,"",IF(OR(A50="",B50="",C50="",D50=""),"Faltan datos",IF(G50="","AP no está en el catálogo",IF(A50&gt;TODAY()+1,"Fecha futura",IF(OR(D50&lt;0,D50&lt;&gt;INT(D50)),"Usuarios no válidos",IF(AND(E50&lt;&gt;"",OR(E50&lt;0,E50&gt;1)),"Utilización fuera de 0-100%",IF(COUNTIFS($A$5:$A$604,A50,$B$5:$B$604,B50,$C$5:$C$604,C50)&gt;1,"Fila duplicada","OK")))))))</f>
        <v/>
      </c>
      <c r="K50" s="9"/>
    </row>
    <row r="51" customFormat="false" ht="15" hidden="false" customHeight="false" outlineLevel="0" collapsed="false">
      <c r="A51" s="7"/>
      <c r="B51" s="8"/>
      <c r="C51" s="9"/>
      <c r="D51" s="20"/>
      <c r="E51" s="10"/>
      <c r="F51" s="9"/>
      <c r="G51" s="11" t="str">
        <f aca="false">IF(C51="","",IFERROR(INDEX(Catálogo!$B$5:$B$2000,MATCH(C51,Catálogo!$A$5:$A$2000,0)),""))</f>
        <v/>
      </c>
      <c r="H51" s="11" t="str">
        <f aca="false">IF(C51="","",IFERROR(INDEX(Catálogo!$C$5:$C$2000,MATCH(C51,Catálogo!$A$5:$A$2000,0)),""))</f>
        <v/>
      </c>
      <c r="I51" s="11" t="str">
        <f aca="false">IF(D51="","",IF(D51&gt;UmbralAlarma,"Alarmante",IF(D51&gt;=UmbralRegular,"Regular","Bueno")))</f>
        <v/>
      </c>
      <c r="J51" s="11" t="str">
        <f aca="true">IF(COUNTA(A51:F51)=0,"",IF(OR(A51="",B51="",C51="",D51=""),"Faltan datos",IF(G51="","AP no está en el catálogo",IF(A51&gt;TODAY()+1,"Fecha futura",IF(OR(D51&lt;0,D51&lt;&gt;INT(D51)),"Usuarios no válidos",IF(AND(E51&lt;&gt;"",OR(E51&lt;0,E51&gt;1)),"Utilización fuera de 0-100%",IF(COUNTIFS($A$5:$A$604,A51,$B$5:$B$604,B51,$C$5:$C$604,C51)&gt;1,"Fila duplicada","OK")))))))</f>
        <v/>
      </c>
      <c r="K51" s="9"/>
    </row>
    <row r="52" customFormat="false" ht="15" hidden="false" customHeight="false" outlineLevel="0" collapsed="false">
      <c r="A52" s="7"/>
      <c r="B52" s="8"/>
      <c r="C52" s="9"/>
      <c r="D52" s="20"/>
      <c r="E52" s="10"/>
      <c r="F52" s="9"/>
      <c r="G52" s="11" t="str">
        <f aca="false">IF(C52="","",IFERROR(INDEX(Catálogo!$B$5:$B$2000,MATCH(C52,Catálogo!$A$5:$A$2000,0)),""))</f>
        <v/>
      </c>
      <c r="H52" s="11" t="str">
        <f aca="false">IF(C52="","",IFERROR(INDEX(Catálogo!$C$5:$C$2000,MATCH(C52,Catálogo!$A$5:$A$2000,0)),""))</f>
        <v/>
      </c>
      <c r="I52" s="11" t="str">
        <f aca="false">IF(D52="","",IF(D52&gt;UmbralAlarma,"Alarmante",IF(D52&gt;=UmbralRegular,"Regular","Bueno")))</f>
        <v/>
      </c>
      <c r="J52" s="11" t="str">
        <f aca="true">IF(COUNTA(A52:F52)=0,"",IF(OR(A52="",B52="",C52="",D52=""),"Faltan datos",IF(G52="","AP no está en el catálogo",IF(A52&gt;TODAY()+1,"Fecha futura",IF(OR(D52&lt;0,D52&lt;&gt;INT(D52)),"Usuarios no válidos",IF(AND(E52&lt;&gt;"",OR(E52&lt;0,E52&gt;1)),"Utilización fuera de 0-100%",IF(COUNTIFS($A$5:$A$604,A52,$B$5:$B$604,B52,$C$5:$C$604,C52)&gt;1,"Fila duplicada","OK")))))))</f>
        <v/>
      </c>
      <c r="K52" s="9"/>
    </row>
    <row r="53" customFormat="false" ht="15" hidden="false" customHeight="false" outlineLevel="0" collapsed="false">
      <c r="A53" s="7"/>
      <c r="B53" s="8"/>
      <c r="C53" s="9"/>
      <c r="D53" s="20"/>
      <c r="E53" s="10"/>
      <c r="F53" s="9"/>
      <c r="G53" s="11" t="str">
        <f aca="false">IF(C53="","",IFERROR(INDEX(Catálogo!$B$5:$B$2000,MATCH(C53,Catálogo!$A$5:$A$2000,0)),""))</f>
        <v/>
      </c>
      <c r="H53" s="11" t="str">
        <f aca="false">IF(C53="","",IFERROR(INDEX(Catálogo!$C$5:$C$2000,MATCH(C53,Catálogo!$A$5:$A$2000,0)),""))</f>
        <v/>
      </c>
      <c r="I53" s="11" t="str">
        <f aca="false">IF(D53="","",IF(D53&gt;UmbralAlarma,"Alarmante",IF(D53&gt;=UmbralRegular,"Regular","Bueno")))</f>
        <v/>
      </c>
      <c r="J53" s="11" t="str">
        <f aca="true">IF(COUNTA(A53:F53)=0,"",IF(OR(A53="",B53="",C53="",D53=""),"Faltan datos",IF(G53="","AP no está en el catálogo",IF(A53&gt;TODAY()+1,"Fecha futura",IF(OR(D53&lt;0,D53&lt;&gt;INT(D53)),"Usuarios no válidos",IF(AND(E53&lt;&gt;"",OR(E53&lt;0,E53&gt;1)),"Utilización fuera de 0-100%",IF(COUNTIFS($A$5:$A$604,A53,$B$5:$B$604,B53,$C$5:$C$604,C53)&gt;1,"Fila duplicada","OK")))))))</f>
        <v/>
      </c>
      <c r="K53" s="9"/>
    </row>
    <row r="54" customFormat="false" ht="15" hidden="false" customHeight="false" outlineLevel="0" collapsed="false">
      <c r="A54" s="7"/>
      <c r="B54" s="8"/>
      <c r="C54" s="9"/>
      <c r="D54" s="20"/>
      <c r="E54" s="10"/>
      <c r="F54" s="9"/>
      <c r="G54" s="11" t="str">
        <f aca="false">IF(C54="","",IFERROR(INDEX(Catálogo!$B$5:$B$2000,MATCH(C54,Catálogo!$A$5:$A$2000,0)),""))</f>
        <v/>
      </c>
      <c r="H54" s="11" t="str">
        <f aca="false">IF(C54="","",IFERROR(INDEX(Catálogo!$C$5:$C$2000,MATCH(C54,Catálogo!$A$5:$A$2000,0)),""))</f>
        <v/>
      </c>
      <c r="I54" s="11" t="str">
        <f aca="false">IF(D54="","",IF(D54&gt;UmbralAlarma,"Alarmante",IF(D54&gt;=UmbralRegular,"Regular","Bueno")))</f>
        <v/>
      </c>
      <c r="J54" s="11" t="str">
        <f aca="true">IF(COUNTA(A54:F54)=0,"",IF(OR(A54="",B54="",C54="",D54=""),"Faltan datos",IF(G54="","AP no está en el catálogo",IF(A54&gt;TODAY()+1,"Fecha futura",IF(OR(D54&lt;0,D54&lt;&gt;INT(D54)),"Usuarios no válidos",IF(AND(E54&lt;&gt;"",OR(E54&lt;0,E54&gt;1)),"Utilización fuera de 0-100%",IF(COUNTIFS($A$5:$A$604,A54,$B$5:$B$604,B54,$C$5:$C$604,C54)&gt;1,"Fila duplicada","OK")))))))</f>
        <v/>
      </c>
      <c r="K54" s="9"/>
    </row>
    <row r="55" customFormat="false" ht="15" hidden="false" customHeight="false" outlineLevel="0" collapsed="false">
      <c r="A55" s="7"/>
      <c r="B55" s="8"/>
      <c r="C55" s="9"/>
      <c r="D55" s="20"/>
      <c r="E55" s="10"/>
      <c r="F55" s="9"/>
      <c r="G55" s="11" t="str">
        <f aca="false">IF(C55="","",IFERROR(INDEX(Catálogo!$B$5:$B$2000,MATCH(C55,Catálogo!$A$5:$A$2000,0)),""))</f>
        <v/>
      </c>
      <c r="H55" s="11" t="str">
        <f aca="false">IF(C55="","",IFERROR(INDEX(Catálogo!$C$5:$C$2000,MATCH(C55,Catálogo!$A$5:$A$2000,0)),""))</f>
        <v/>
      </c>
      <c r="I55" s="11" t="str">
        <f aca="false">IF(D55="","",IF(D55&gt;UmbralAlarma,"Alarmante",IF(D55&gt;=UmbralRegular,"Regular","Bueno")))</f>
        <v/>
      </c>
      <c r="J55" s="11" t="str">
        <f aca="true">IF(COUNTA(A55:F55)=0,"",IF(OR(A55="",B55="",C55="",D55=""),"Faltan datos",IF(G55="","AP no está en el catálogo",IF(A55&gt;TODAY()+1,"Fecha futura",IF(OR(D55&lt;0,D55&lt;&gt;INT(D55)),"Usuarios no válidos",IF(AND(E55&lt;&gt;"",OR(E55&lt;0,E55&gt;1)),"Utilización fuera de 0-100%",IF(COUNTIFS($A$5:$A$604,A55,$B$5:$B$604,B55,$C$5:$C$604,C55)&gt;1,"Fila duplicada","OK")))))))</f>
        <v/>
      </c>
      <c r="K55" s="9"/>
    </row>
    <row r="56" customFormat="false" ht="15" hidden="false" customHeight="false" outlineLevel="0" collapsed="false">
      <c r="A56" s="7"/>
      <c r="B56" s="8"/>
      <c r="C56" s="9"/>
      <c r="D56" s="20"/>
      <c r="E56" s="10"/>
      <c r="F56" s="9"/>
      <c r="G56" s="11" t="str">
        <f aca="false">IF(C56="","",IFERROR(INDEX(Catálogo!$B$5:$B$2000,MATCH(C56,Catálogo!$A$5:$A$2000,0)),""))</f>
        <v/>
      </c>
      <c r="H56" s="11" t="str">
        <f aca="false">IF(C56="","",IFERROR(INDEX(Catálogo!$C$5:$C$2000,MATCH(C56,Catálogo!$A$5:$A$2000,0)),""))</f>
        <v/>
      </c>
      <c r="I56" s="11" t="str">
        <f aca="false">IF(D56="","",IF(D56&gt;UmbralAlarma,"Alarmante",IF(D56&gt;=UmbralRegular,"Regular","Bueno")))</f>
        <v/>
      </c>
      <c r="J56" s="11" t="str">
        <f aca="true">IF(COUNTA(A56:F56)=0,"",IF(OR(A56="",B56="",C56="",D56=""),"Faltan datos",IF(G56="","AP no está en el catálogo",IF(A56&gt;TODAY()+1,"Fecha futura",IF(OR(D56&lt;0,D56&lt;&gt;INT(D56)),"Usuarios no válidos",IF(AND(E56&lt;&gt;"",OR(E56&lt;0,E56&gt;1)),"Utilización fuera de 0-100%",IF(COUNTIFS($A$5:$A$604,A56,$B$5:$B$604,B56,$C$5:$C$604,C56)&gt;1,"Fila duplicada","OK")))))))</f>
        <v/>
      </c>
      <c r="K56" s="9"/>
    </row>
    <row r="57" customFormat="false" ht="15" hidden="false" customHeight="false" outlineLevel="0" collapsed="false">
      <c r="A57" s="7"/>
      <c r="B57" s="8"/>
      <c r="C57" s="9"/>
      <c r="D57" s="20"/>
      <c r="E57" s="10"/>
      <c r="F57" s="9"/>
      <c r="G57" s="11" t="str">
        <f aca="false">IF(C57="","",IFERROR(INDEX(Catálogo!$B$5:$B$2000,MATCH(C57,Catálogo!$A$5:$A$2000,0)),""))</f>
        <v/>
      </c>
      <c r="H57" s="11" t="str">
        <f aca="false">IF(C57="","",IFERROR(INDEX(Catálogo!$C$5:$C$2000,MATCH(C57,Catálogo!$A$5:$A$2000,0)),""))</f>
        <v/>
      </c>
      <c r="I57" s="11" t="str">
        <f aca="false">IF(D57="","",IF(D57&gt;UmbralAlarma,"Alarmante",IF(D57&gt;=UmbralRegular,"Regular","Bueno")))</f>
        <v/>
      </c>
      <c r="J57" s="11" t="str">
        <f aca="true">IF(COUNTA(A57:F57)=0,"",IF(OR(A57="",B57="",C57="",D57=""),"Faltan datos",IF(G57="","AP no está en el catálogo",IF(A57&gt;TODAY()+1,"Fecha futura",IF(OR(D57&lt;0,D57&lt;&gt;INT(D57)),"Usuarios no válidos",IF(AND(E57&lt;&gt;"",OR(E57&lt;0,E57&gt;1)),"Utilización fuera de 0-100%",IF(COUNTIFS($A$5:$A$604,A57,$B$5:$B$604,B57,$C$5:$C$604,C57)&gt;1,"Fila duplicada","OK")))))))</f>
        <v/>
      </c>
      <c r="K57" s="9"/>
    </row>
    <row r="58" customFormat="false" ht="15" hidden="false" customHeight="false" outlineLevel="0" collapsed="false">
      <c r="A58" s="7"/>
      <c r="B58" s="8"/>
      <c r="C58" s="9"/>
      <c r="D58" s="20"/>
      <c r="E58" s="10"/>
      <c r="F58" s="9"/>
      <c r="G58" s="11" t="str">
        <f aca="false">IF(C58="","",IFERROR(INDEX(Catálogo!$B$5:$B$2000,MATCH(C58,Catálogo!$A$5:$A$2000,0)),""))</f>
        <v/>
      </c>
      <c r="H58" s="11" t="str">
        <f aca="false">IF(C58="","",IFERROR(INDEX(Catálogo!$C$5:$C$2000,MATCH(C58,Catálogo!$A$5:$A$2000,0)),""))</f>
        <v/>
      </c>
      <c r="I58" s="11" t="str">
        <f aca="false">IF(D58="","",IF(D58&gt;UmbralAlarma,"Alarmante",IF(D58&gt;=UmbralRegular,"Regular","Bueno")))</f>
        <v/>
      </c>
      <c r="J58" s="11" t="str">
        <f aca="true">IF(COUNTA(A58:F58)=0,"",IF(OR(A58="",B58="",C58="",D58=""),"Faltan datos",IF(G58="","AP no está en el catálogo",IF(A58&gt;TODAY()+1,"Fecha futura",IF(OR(D58&lt;0,D58&lt;&gt;INT(D58)),"Usuarios no válidos",IF(AND(E58&lt;&gt;"",OR(E58&lt;0,E58&gt;1)),"Utilización fuera de 0-100%",IF(COUNTIFS($A$5:$A$604,A58,$B$5:$B$604,B58,$C$5:$C$604,C58)&gt;1,"Fila duplicada","OK")))))))</f>
        <v/>
      </c>
      <c r="K58" s="9"/>
    </row>
    <row r="59" customFormat="false" ht="15" hidden="false" customHeight="false" outlineLevel="0" collapsed="false">
      <c r="A59" s="7"/>
      <c r="B59" s="8"/>
      <c r="C59" s="9"/>
      <c r="D59" s="20"/>
      <c r="E59" s="10"/>
      <c r="F59" s="9"/>
      <c r="G59" s="11" t="str">
        <f aca="false">IF(C59="","",IFERROR(INDEX(Catálogo!$B$5:$B$2000,MATCH(C59,Catálogo!$A$5:$A$2000,0)),""))</f>
        <v/>
      </c>
      <c r="H59" s="11" t="str">
        <f aca="false">IF(C59="","",IFERROR(INDEX(Catálogo!$C$5:$C$2000,MATCH(C59,Catálogo!$A$5:$A$2000,0)),""))</f>
        <v/>
      </c>
      <c r="I59" s="11" t="str">
        <f aca="false">IF(D59="","",IF(D59&gt;UmbralAlarma,"Alarmante",IF(D59&gt;=UmbralRegular,"Regular","Bueno")))</f>
        <v/>
      </c>
      <c r="J59" s="11" t="str">
        <f aca="true">IF(COUNTA(A59:F59)=0,"",IF(OR(A59="",B59="",C59="",D59=""),"Faltan datos",IF(G59="","AP no está en el catálogo",IF(A59&gt;TODAY()+1,"Fecha futura",IF(OR(D59&lt;0,D59&lt;&gt;INT(D59)),"Usuarios no válidos",IF(AND(E59&lt;&gt;"",OR(E59&lt;0,E59&gt;1)),"Utilización fuera de 0-100%",IF(COUNTIFS($A$5:$A$604,A59,$B$5:$B$604,B59,$C$5:$C$604,C59)&gt;1,"Fila duplicada","OK")))))))</f>
        <v/>
      </c>
      <c r="K59" s="9"/>
    </row>
    <row r="60" customFormat="false" ht="15" hidden="false" customHeight="false" outlineLevel="0" collapsed="false">
      <c r="A60" s="7"/>
      <c r="B60" s="8"/>
      <c r="C60" s="9"/>
      <c r="D60" s="20"/>
      <c r="E60" s="10"/>
      <c r="F60" s="9"/>
      <c r="G60" s="11" t="str">
        <f aca="false">IF(C60="","",IFERROR(INDEX(Catálogo!$B$5:$B$2000,MATCH(C60,Catálogo!$A$5:$A$2000,0)),""))</f>
        <v/>
      </c>
      <c r="H60" s="11" t="str">
        <f aca="false">IF(C60="","",IFERROR(INDEX(Catálogo!$C$5:$C$2000,MATCH(C60,Catálogo!$A$5:$A$2000,0)),""))</f>
        <v/>
      </c>
      <c r="I60" s="11" t="str">
        <f aca="false">IF(D60="","",IF(D60&gt;UmbralAlarma,"Alarmante",IF(D60&gt;=UmbralRegular,"Regular","Bueno")))</f>
        <v/>
      </c>
      <c r="J60" s="11" t="str">
        <f aca="true">IF(COUNTA(A60:F60)=0,"",IF(OR(A60="",B60="",C60="",D60=""),"Faltan datos",IF(G60="","AP no está en el catálogo",IF(A60&gt;TODAY()+1,"Fecha futura",IF(OR(D60&lt;0,D60&lt;&gt;INT(D60)),"Usuarios no válidos",IF(AND(E60&lt;&gt;"",OR(E60&lt;0,E60&gt;1)),"Utilización fuera de 0-100%",IF(COUNTIFS($A$5:$A$604,A60,$B$5:$B$604,B60,$C$5:$C$604,C60)&gt;1,"Fila duplicada","OK")))))))</f>
        <v/>
      </c>
      <c r="K60" s="9"/>
    </row>
    <row r="61" customFormat="false" ht="15" hidden="false" customHeight="false" outlineLevel="0" collapsed="false">
      <c r="A61" s="7"/>
      <c r="B61" s="8"/>
      <c r="C61" s="9"/>
      <c r="D61" s="20"/>
      <c r="E61" s="10"/>
      <c r="F61" s="9"/>
      <c r="G61" s="11" t="str">
        <f aca="false">IF(C61="","",IFERROR(INDEX(Catálogo!$B$5:$B$2000,MATCH(C61,Catálogo!$A$5:$A$2000,0)),""))</f>
        <v/>
      </c>
      <c r="H61" s="11" t="str">
        <f aca="false">IF(C61="","",IFERROR(INDEX(Catálogo!$C$5:$C$2000,MATCH(C61,Catálogo!$A$5:$A$2000,0)),""))</f>
        <v/>
      </c>
      <c r="I61" s="11" t="str">
        <f aca="false">IF(D61="","",IF(D61&gt;UmbralAlarma,"Alarmante",IF(D61&gt;=UmbralRegular,"Regular","Bueno")))</f>
        <v/>
      </c>
      <c r="J61" s="11" t="str">
        <f aca="true">IF(COUNTA(A61:F61)=0,"",IF(OR(A61="",B61="",C61="",D61=""),"Faltan datos",IF(G61="","AP no está en el catálogo",IF(A61&gt;TODAY()+1,"Fecha futura",IF(OR(D61&lt;0,D61&lt;&gt;INT(D61)),"Usuarios no válidos",IF(AND(E61&lt;&gt;"",OR(E61&lt;0,E61&gt;1)),"Utilización fuera de 0-100%",IF(COUNTIFS($A$5:$A$604,A61,$B$5:$B$604,B61,$C$5:$C$604,C61)&gt;1,"Fila duplicada","OK")))))))</f>
        <v/>
      </c>
      <c r="K61" s="9"/>
    </row>
    <row r="62" customFormat="false" ht="15" hidden="false" customHeight="false" outlineLevel="0" collapsed="false">
      <c r="A62" s="7"/>
      <c r="B62" s="8"/>
      <c r="C62" s="9"/>
      <c r="D62" s="20"/>
      <c r="E62" s="10"/>
      <c r="F62" s="9"/>
      <c r="G62" s="11" t="str">
        <f aca="false">IF(C62="","",IFERROR(INDEX(Catálogo!$B$5:$B$2000,MATCH(C62,Catálogo!$A$5:$A$2000,0)),""))</f>
        <v/>
      </c>
      <c r="H62" s="11" t="str">
        <f aca="false">IF(C62="","",IFERROR(INDEX(Catálogo!$C$5:$C$2000,MATCH(C62,Catálogo!$A$5:$A$2000,0)),""))</f>
        <v/>
      </c>
      <c r="I62" s="11" t="str">
        <f aca="false">IF(D62="","",IF(D62&gt;UmbralAlarma,"Alarmante",IF(D62&gt;=UmbralRegular,"Regular","Bueno")))</f>
        <v/>
      </c>
      <c r="J62" s="11" t="str">
        <f aca="true">IF(COUNTA(A62:F62)=0,"",IF(OR(A62="",B62="",C62="",D62=""),"Faltan datos",IF(G62="","AP no está en el catálogo",IF(A62&gt;TODAY()+1,"Fecha futura",IF(OR(D62&lt;0,D62&lt;&gt;INT(D62)),"Usuarios no válidos",IF(AND(E62&lt;&gt;"",OR(E62&lt;0,E62&gt;1)),"Utilización fuera de 0-100%",IF(COUNTIFS($A$5:$A$604,A62,$B$5:$B$604,B62,$C$5:$C$604,C62)&gt;1,"Fila duplicada","OK")))))))</f>
        <v/>
      </c>
      <c r="K62" s="9"/>
    </row>
    <row r="63" customFormat="false" ht="15" hidden="false" customHeight="false" outlineLevel="0" collapsed="false">
      <c r="A63" s="7"/>
      <c r="B63" s="8"/>
      <c r="C63" s="9"/>
      <c r="D63" s="20"/>
      <c r="E63" s="10"/>
      <c r="F63" s="9"/>
      <c r="G63" s="11" t="str">
        <f aca="false">IF(C63="","",IFERROR(INDEX(Catálogo!$B$5:$B$2000,MATCH(C63,Catálogo!$A$5:$A$2000,0)),""))</f>
        <v/>
      </c>
      <c r="H63" s="11" t="str">
        <f aca="false">IF(C63="","",IFERROR(INDEX(Catálogo!$C$5:$C$2000,MATCH(C63,Catálogo!$A$5:$A$2000,0)),""))</f>
        <v/>
      </c>
      <c r="I63" s="11" t="str">
        <f aca="false">IF(D63="","",IF(D63&gt;UmbralAlarma,"Alarmante",IF(D63&gt;=UmbralRegular,"Regular","Bueno")))</f>
        <v/>
      </c>
      <c r="J63" s="11" t="str">
        <f aca="true">IF(COUNTA(A63:F63)=0,"",IF(OR(A63="",B63="",C63="",D63=""),"Faltan datos",IF(G63="","AP no está en el catálogo",IF(A63&gt;TODAY()+1,"Fecha futura",IF(OR(D63&lt;0,D63&lt;&gt;INT(D63)),"Usuarios no válidos",IF(AND(E63&lt;&gt;"",OR(E63&lt;0,E63&gt;1)),"Utilización fuera de 0-100%",IF(COUNTIFS($A$5:$A$604,A63,$B$5:$B$604,B63,$C$5:$C$604,C63)&gt;1,"Fila duplicada","OK")))))))</f>
        <v/>
      </c>
      <c r="K63" s="9"/>
    </row>
    <row r="64" customFormat="false" ht="15" hidden="false" customHeight="false" outlineLevel="0" collapsed="false">
      <c r="A64" s="7"/>
      <c r="B64" s="8"/>
      <c r="C64" s="9"/>
      <c r="D64" s="20"/>
      <c r="E64" s="10"/>
      <c r="F64" s="9"/>
      <c r="G64" s="11" t="str">
        <f aca="false">IF(C64="","",IFERROR(INDEX(Catálogo!$B$5:$B$2000,MATCH(C64,Catálogo!$A$5:$A$2000,0)),""))</f>
        <v/>
      </c>
      <c r="H64" s="11" t="str">
        <f aca="false">IF(C64="","",IFERROR(INDEX(Catálogo!$C$5:$C$2000,MATCH(C64,Catálogo!$A$5:$A$2000,0)),""))</f>
        <v/>
      </c>
      <c r="I64" s="11" t="str">
        <f aca="false">IF(D64="","",IF(D64&gt;UmbralAlarma,"Alarmante",IF(D64&gt;=UmbralRegular,"Regular","Bueno")))</f>
        <v/>
      </c>
      <c r="J64" s="11" t="str">
        <f aca="true">IF(COUNTA(A64:F64)=0,"",IF(OR(A64="",B64="",C64="",D64=""),"Faltan datos",IF(G64="","AP no está en el catálogo",IF(A64&gt;TODAY()+1,"Fecha futura",IF(OR(D64&lt;0,D64&lt;&gt;INT(D64)),"Usuarios no válidos",IF(AND(E64&lt;&gt;"",OR(E64&lt;0,E64&gt;1)),"Utilización fuera de 0-100%",IF(COUNTIFS($A$5:$A$604,A64,$B$5:$B$604,B64,$C$5:$C$604,C64)&gt;1,"Fila duplicada","OK")))))))</f>
        <v/>
      </c>
      <c r="K64" s="9"/>
    </row>
    <row r="65" customFormat="false" ht="15" hidden="false" customHeight="false" outlineLevel="0" collapsed="false">
      <c r="A65" s="7"/>
      <c r="B65" s="8"/>
      <c r="C65" s="9"/>
      <c r="D65" s="20"/>
      <c r="E65" s="10"/>
      <c r="F65" s="9"/>
      <c r="G65" s="11" t="str">
        <f aca="false">IF(C65="","",IFERROR(INDEX(Catálogo!$B$5:$B$2000,MATCH(C65,Catálogo!$A$5:$A$2000,0)),""))</f>
        <v/>
      </c>
      <c r="H65" s="11" t="str">
        <f aca="false">IF(C65="","",IFERROR(INDEX(Catálogo!$C$5:$C$2000,MATCH(C65,Catálogo!$A$5:$A$2000,0)),""))</f>
        <v/>
      </c>
      <c r="I65" s="11" t="str">
        <f aca="false">IF(D65="","",IF(D65&gt;UmbralAlarma,"Alarmante",IF(D65&gt;=UmbralRegular,"Regular","Bueno")))</f>
        <v/>
      </c>
      <c r="J65" s="11" t="str">
        <f aca="true">IF(COUNTA(A65:F65)=0,"",IF(OR(A65="",B65="",C65="",D65=""),"Faltan datos",IF(G65="","AP no está en el catálogo",IF(A65&gt;TODAY()+1,"Fecha futura",IF(OR(D65&lt;0,D65&lt;&gt;INT(D65)),"Usuarios no válidos",IF(AND(E65&lt;&gt;"",OR(E65&lt;0,E65&gt;1)),"Utilización fuera de 0-100%",IF(COUNTIFS($A$5:$A$604,A65,$B$5:$B$604,B65,$C$5:$C$604,C65)&gt;1,"Fila duplicada","OK")))))))</f>
        <v/>
      </c>
      <c r="K65" s="9"/>
    </row>
    <row r="66" customFormat="false" ht="15" hidden="false" customHeight="false" outlineLevel="0" collapsed="false">
      <c r="A66" s="7"/>
      <c r="B66" s="8"/>
      <c r="C66" s="9"/>
      <c r="D66" s="20"/>
      <c r="E66" s="10"/>
      <c r="F66" s="9"/>
      <c r="G66" s="11" t="str">
        <f aca="false">IF(C66="","",IFERROR(INDEX(Catálogo!$B$5:$B$2000,MATCH(C66,Catálogo!$A$5:$A$2000,0)),""))</f>
        <v/>
      </c>
      <c r="H66" s="11" t="str">
        <f aca="false">IF(C66="","",IFERROR(INDEX(Catálogo!$C$5:$C$2000,MATCH(C66,Catálogo!$A$5:$A$2000,0)),""))</f>
        <v/>
      </c>
      <c r="I66" s="11" t="str">
        <f aca="false">IF(D66="","",IF(D66&gt;UmbralAlarma,"Alarmante",IF(D66&gt;=UmbralRegular,"Regular","Bueno")))</f>
        <v/>
      </c>
      <c r="J66" s="11" t="str">
        <f aca="true">IF(COUNTA(A66:F66)=0,"",IF(OR(A66="",B66="",C66="",D66=""),"Faltan datos",IF(G66="","AP no está en el catálogo",IF(A66&gt;TODAY()+1,"Fecha futura",IF(OR(D66&lt;0,D66&lt;&gt;INT(D66)),"Usuarios no válidos",IF(AND(E66&lt;&gt;"",OR(E66&lt;0,E66&gt;1)),"Utilización fuera de 0-100%",IF(COUNTIFS($A$5:$A$604,A66,$B$5:$B$604,B66,$C$5:$C$604,C66)&gt;1,"Fila duplicada","OK")))))))</f>
        <v/>
      </c>
      <c r="K66" s="9"/>
    </row>
    <row r="67" customFormat="false" ht="15" hidden="false" customHeight="false" outlineLevel="0" collapsed="false">
      <c r="A67" s="7"/>
      <c r="B67" s="8"/>
      <c r="C67" s="9"/>
      <c r="D67" s="20"/>
      <c r="E67" s="10"/>
      <c r="F67" s="9"/>
      <c r="G67" s="11" t="str">
        <f aca="false">IF(C67="","",IFERROR(INDEX(Catálogo!$B$5:$B$2000,MATCH(C67,Catálogo!$A$5:$A$2000,0)),""))</f>
        <v/>
      </c>
      <c r="H67" s="11" t="str">
        <f aca="false">IF(C67="","",IFERROR(INDEX(Catálogo!$C$5:$C$2000,MATCH(C67,Catálogo!$A$5:$A$2000,0)),""))</f>
        <v/>
      </c>
      <c r="I67" s="11" t="str">
        <f aca="false">IF(D67="","",IF(D67&gt;UmbralAlarma,"Alarmante",IF(D67&gt;=UmbralRegular,"Regular","Bueno")))</f>
        <v/>
      </c>
      <c r="J67" s="11" t="str">
        <f aca="true">IF(COUNTA(A67:F67)=0,"",IF(OR(A67="",B67="",C67="",D67=""),"Faltan datos",IF(G67="","AP no está en el catálogo",IF(A67&gt;TODAY()+1,"Fecha futura",IF(OR(D67&lt;0,D67&lt;&gt;INT(D67)),"Usuarios no válidos",IF(AND(E67&lt;&gt;"",OR(E67&lt;0,E67&gt;1)),"Utilización fuera de 0-100%",IF(COUNTIFS($A$5:$A$604,A67,$B$5:$B$604,B67,$C$5:$C$604,C67)&gt;1,"Fila duplicada","OK")))))))</f>
        <v/>
      </c>
      <c r="K67" s="9"/>
    </row>
    <row r="68" customFormat="false" ht="15" hidden="false" customHeight="false" outlineLevel="0" collapsed="false">
      <c r="A68" s="7"/>
      <c r="B68" s="8"/>
      <c r="C68" s="9"/>
      <c r="D68" s="20"/>
      <c r="E68" s="10"/>
      <c r="F68" s="9"/>
      <c r="G68" s="11" t="str">
        <f aca="false">IF(C68="","",IFERROR(INDEX(Catálogo!$B$5:$B$2000,MATCH(C68,Catálogo!$A$5:$A$2000,0)),""))</f>
        <v/>
      </c>
      <c r="H68" s="11" t="str">
        <f aca="false">IF(C68="","",IFERROR(INDEX(Catálogo!$C$5:$C$2000,MATCH(C68,Catálogo!$A$5:$A$2000,0)),""))</f>
        <v/>
      </c>
      <c r="I68" s="11" t="str">
        <f aca="false">IF(D68="","",IF(D68&gt;UmbralAlarma,"Alarmante",IF(D68&gt;=UmbralRegular,"Regular","Bueno")))</f>
        <v/>
      </c>
      <c r="J68" s="11" t="str">
        <f aca="true">IF(COUNTA(A68:F68)=0,"",IF(OR(A68="",B68="",C68="",D68=""),"Faltan datos",IF(G68="","AP no está en el catálogo",IF(A68&gt;TODAY()+1,"Fecha futura",IF(OR(D68&lt;0,D68&lt;&gt;INT(D68)),"Usuarios no válidos",IF(AND(E68&lt;&gt;"",OR(E68&lt;0,E68&gt;1)),"Utilización fuera de 0-100%",IF(COUNTIFS($A$5:$A$604,A68,$B$5:$B$604,B68,$C$5:$C$604,C68)&gt;1,"Fila duplicada","OK")))))))</f>
        <v/>
      </c>
      <c r="K68" s="9"/>
    </row>
    <row r="69" customFormat="false" ht="15" hidden="false" customHeight="false" outlineLevel="0" collapsed="false">
      <c r="A69" s="7"/>
      <c r="B69" s="8"/>
      <c r="C69" s="9"/>
      <c r="D69" s="20"/>
      <c r="E69" s="10"/>
      <c r="F69" s="9"/>
      <c r="G69" s="11" t="str">
        <f aca="false">IF(C69="","",IFERROR(INDEX(Catálogo!$B$5:$B$2000,MATCH(C69,Catálogo!$A$5:$A$2000,0)),""))</f>
        <v/>
      </c>
      <c r="H69" s="11" t="str">
        <f aca="false">IF(C69="","",IFERROR(INDEX(Catálogo!$C$5:$C$2000,MATCH(C69,Catálogo!$A$5:$A$2000,0)),""))</f>
        <v/>
      </c>
      <c r="I69" s="11" t="str">
        <f aca="false">IF(D69="","",IF(D69&gt;UmbralAlarma,"Alarmante",IF(D69&gt;=UmbralRegular,"Regular","Bueno")))</f>
        <v/>
      </c>
      <c r="J69" s="11" t="str">
        <f aca="true">IF(COUNTA(A69:F69)=0,"",IF(OR(A69="",B69="",C69="",D69=""),"Faltan datos",IF(G69="","AP no está en el catálogo",IF(A69&gt;TODAY()+1,"Fecha futura",IF(OR(D69&lt;0,D69&lt;&gt;INT(D69)),"Usuarios no válidos",IF(AND(E69&lt;&gt;"",OR(E69&lt;0,E69&gt;1)),"Utilización fuera de 0-100%",IF(COUNTIFS($A$5:$A$604,A69,$B$5:$B$604,B69,$C$5:$C$604,C69)&gt;1,"Fila duplicada","OK")))))))</f>
        <v/>
      </c>
      <c r="K69" s="9"/>
    </row>
    <row r="70" customFormat="false" ht="15" hidden="false" customHeight="false" outlineLevel="0" collapsed="false">
      <c r="A70" s="7"/>
      <c r="B70" s="8"/>
      <c r="C70" s="9"/>
      <c r="D70" s="20"/>
      <c r="E70" s="10"/>
      <c r="F70" s="9"/>
      <c r="G70" s="11" t="str">
        <f aca="false">IF(C70="","",IFERROR(INDEX(Catálogo!$B$5:$B$2000,MATCH(C70,Catálogo!$A$5:$A$2000,0)),""))</f>
        <v/>
      </c>
      <c r="H70" s="11" t="str">
        <f aca="false">IF(C70="","",IFERROR(INDEX(Catálogo!$C$5:$C$2000,MATCH(C70,Catálogo!$A$5:$A$2000,0)),""))</f>
        <v/>
      </c>
      <c r="I70" s="11" t="str">
        <f aca="false">IF(D70="","",IF(D70&gt;UmbralAlarma,"Alarmante",IF(D70&gt;=UmbralRegular,"Regular","Bueno")))</f>
        <v/>
      </c>
      <c r="J70" s="11" t="str">
        <f aca="true">IF(COUNTA(A70:F70)=0,"",IF(OR(A70="",B70="",C70="",D70=""),"Faltan datos",IF(G70="","AP no está en el catálogo",IF(A70&gt;TODAY()+1,"Fecha futura",IF(OR(D70&lt;0,D70&lt;&gt;INT(D70)),"Usuarios no válidos",IF(AND(E70&lt;&gt;"",OR(E70&lt;0,E70&gt;1)),"Utilización fuera de 0-100%",IF(COUNTIFS($A$5:$A$604,A70,$B$5:$B$604,B70,$C$5:$C$604,C70)&gt;1,"Fila duplicada","OK")))))))</f>
        <v/>
      </c>
      <c r="K70" s="9"/>
    </row>
    <row r="71" customFormat="false" ht="15" hidden="false" customHeight="false" outlineLevel="0" collapsed="false">
      <c r="A71" s="7"/>
      <c r="B71" s="8"/>
      <c r="C71" s="9"/>
      <c r="D71" s="20"/>
      <c r="E71" s="10"/>
      <c r="F71" s="9"/>
      <c r="G71" s="11" t="str">
        <f aca="false">IF(C71="","",IFERROR(INDEX(Catálogo!$B$5:$B$2000,MATCH(C71,Catálogo!$A$5:$A$2000,0)),""))</f>
        <v/>
      </c>
      <c r="H71" s="11" t="str">
        <f aca="false">IF(C71="","",IFERROR(INDEX(Catálogo!$C$5:$C$2000,MATCH(C71,Catálogo!$A$5:$A$2000,0)),""))</f>
        <v/>
      </c>
      <c r="I71" s="11" t="str">
        <f aca="false">IF(D71="","",IF(D71&gt;UmbralAlarma,"Alarmante",IF(D71&gt;=UmbralRegular,"Regular","Bueno")))</f>
        <v/>
      </c>
      <c r="J71" s="11" t="str">
        <f aca="true">IF(COUNTA(A71:F71)=0,"",IF(OR(A71="",B71="",C71="",D71=""),"Faltan datos",IF(G71="","AP no está en el catálogo",IF(A71&gt;TODAY()+1,"Fecha futura",IF(OR(D71&lt;0,D71&lt;&gt;INT(D71)),"Usuarios no válidos",IF(AND(E71&lt;&gt;"",OR(E71&lt;0,E71&gt;1)),"Utilización fuera de 0-100%",IF(COUNTIFS($A$5:$A$604,A71,$B$5:$B$604,B71,$C$5:$C$604,C71)&gt;1,"Fila duplicada","OK")))))))</f>
        <v/>
      </c>
      <c r="K71" s="9"/>
    </row>
    <row r="72" customFormat="false" ht="15" hidden="false" customHeight="false" outlineLevel="0" collapsed="false">
      <c r="A72" s="7"/>
      <c r="B72" s="8"/>
      <c r="C72" s="9"/>
      <c r="D72" s="20"/>
      <c r="E72" s="10"/>
      <c r="F72" s="9"/>
      <c r="G72" s="11" t="str">
        <f aca="false">IF(C72="","",IFERROR(INDEX(Catálogo!$B$5:$B$2000,MATCH(C72,Catálogo!$A$5:$A$2000,0)),""))</f>
        <v/>
      </c>
      <c r="H72" s="11" t="str">
        <f aca="false">IF(C72="","",IFERROR(INDEX(Catálogo!$C$5:$C$2000,MATCH(C72,Catálogo!$A$5:$A$2000,0)),""))</f>
        <v/>
      </c>
      <c r="I72" s="11" t="str">
        <f aca="false">IF(D72="","",IF(D72&gt;UmbralAlarma,"Alarmante",IF(D72&gt;=UmbralRegular,"Regular","Bueno")))</f>
        <v/>
      </c>
      <c r="J72" s="11" t="str">
        <f aca="true">IF(COUNTA(A72:F72)=0,"",IF(OR(A72="",B72="",C72="",D72=""),"Faltan datos",IF(G72="","AP no está en el catálogo",IF(A72&gt;TODAY()+1,"Fecha futura",IF(OR(D72&lt;0,D72&lt;&gt;INT(D72)),"Usuarios no válidos",IF(AND(E72&lt;&gt;"",OR(E72&lt;0,E72&gt;1)),"Utilización fuera de 0-100%",IF(COUNTIFS($A$5:$A$604,A72,$B$5:$B$604,B72,$C$5:$C$604,C72)&gt;1,"Fila duplicada","OK")))))))</f>
        <v/>
      </c>
      <c r="K72" s="9"/>
    </row>
    <row r="73" customFormat="false" ht="15" hidden="false" customHeight="false" outlineLevel="0" collapsed="false">
      <c r="A73" s="7"/>
      <c r="B73" s="8"/>
      <c r="C73" s="9"/>
      <c r="D73" s="20"/>
      <c r="E73" s="10"/>
      <c r="F73" s="9"/>
      <c r="G73" s="11" t="str">
        <f aca="false">IF(C73="","",IFERROR(INDEX(Catálogo!$B$5:$B$2000,MATCH(C73,Catálogo!$A$5:$A$2000,0)),""))</f>
        <v/>
      </c>
      <c r="H73" s="11" t="str">
        <f aca="false">IF(C73="","",IFERROR(INDEX(Catálogo!$C$5:$C$2000,MATCH(C73,Catálogo!$A$5:$A$2000,0)),""))</f>
        <v/>
      </c>
      <c r="I73" s="11" t="str">
        <f aca="false">IF(D73="","",IF(D73&gt;UmbralAlarma,"Alarmante",IF(D73&gt;=UmbralRegular,"Regular","Bueno")))</f>
        <v/>
      </c>
      <c r="J73" s="11" t="str">
        <f aca="true">IF(COUNTA(A73:F73)=0,"",IF(OR(A73="",B73="",C73="",D73=""),"Faltan datos",IF(G73="","AP no está en el catálogo",IF(A73&gt;TODAY()+1,"Fecha futura",IF(OR(D73&lt;0,D73&lt;&gt;INT(D73)),"Usuarios no válidos",IF(AND(E73&lt;&gt;"",OR(E73&lt;0,E73&gt;1)),"Utilización fuera de 0-100%",IF(COUNTIFS($A$5:$A$604,A73,$B$5:$B$604,B73,$C$5:$C$604,C73)&gt;1,"Fila duplicada","OK")))))))</f>
        <v/>
      </c>
      <c r="K73" s="9"/>
    </row>
    <row r="74" customFormat="false" ht="15" hidden="false" customHeight="false" outlineLevel="0" collapsed="false">
      <c r="A74" s="7"/>
      <c r="B74" s="8"/>
      <c r="C74" s="9"/>
      <c r="D74" s="20"/>
      <c r="E74" s="10"/>
      <c r="F74" s="9"/>
      <c r="G74" s="11" t="str">
        <f aca="false">IF(C74="","",IFERROR(INDEX(Catálogo!$B$5:$B$2000,MATCH(C74,Catálogo!$A$5:$A$2000,0)),""))</f>
        <v/>
      </c>
      <c r="H74" s="11" t="str">
        <f aca="false">IF(C74="","",IFERROR(INDEX(Catálogo!$C$5:$C$2000,MATCH(C74,Catálogo!$A$5:$A$2000,0)),""))</f>
        <v/>
      </c>
      <c r="I74" s="11" t="str">
        <f aca="false">IF(D74="","",IF(D74&gt;UmbralAlarma,"Alarmante",IF(D74&gt;=UmbralRegular,"Regular","Bueno")))</f>
        <v/>
      </c>
      <c r="J74" s="11" t="str">
        <f aca="true">IF(COUNTA(A74:F74)=0,"",IF(OR(A74="",B74="",C74="",D74=""),"Faltan datos",IF(G74="","AP no está en el catálogo",IF(A74&gt;TODAY()+1,"Fecha futura",IF(OR(D74&lt;0,D74&lt;&gt;INT(D74)),"Usuarios no válidos",IF(AND(E74&lt;&gt;"",OR(E74&lt;0,E74&gt;1)),"Utilización fuera de 0-100%",IF(COUNTIFS($A$5:$A$604,A74,$B$5:$B$604,B74,$C$5:$C$604,C74)&gt;1,"Fila duplicada","OK")))))))</f>
        <v/>
      </c>
      <c r="K74" s="9"/>
    </row>
    <row r="75" customFormat="false" ht="15" hidden="false" customHeight="false" outlineLevel="0" collapsed="false">
      <c r="A75" s="7"/>
      <c r="B75" s="8"/>
      <c r="C75" s="9"/>
      <c r="D75" s="20"/>
      <c r="E75" s="10"/>
      <c r="F75" s="9"/>
      <c r="G75" s="11" t="str">
        <f aca="false">IF(C75="","",IFERROR(INDEX(Catálogo!$B$5:$B$2000,MATCH(C75,Catálogo!$A$5:$A$2000,0)),""))</f>
        <v/>
      </c>
      <c r="H75" s="11" t="str">
        <f aca="false">IF(C75="","",IFERROR(INDEX(Catálogo!$C$5:$C$2000,MATCH(C75,Catálogo!$A$5:$A$2000,0)),""))</f>
        <v/>
      </c>
      <c r="I75" s="11" t="str">
        <f aca="false">IF(D75="","",IF(D75&gt;UmbralAlarma,"Alarmante",IF(D75&gt;=UmbralRegular,"Regular","Bueno")))</f>
        <v/>
      </c>
      <c r="J75" s="11" t="str">
        <f aca="true">IF(COUNTA(A75:F75)=0,"",IF(OR(A75="",B75="",C75="",D75=""),"Faltan datos",IF(G75="","AP no está en el catálogo",IF(A75&gt;TODAY()+1,"Fecha futura",IF(OR(D75&lt;0,D75&lt;&gt;INT(D75)),"Usuarios no válidos",IF(AND(E75&lt;&gt;"",OR(E75&lt;0,E75&gt;1)),"Utilización fuera de 0-100%",IF(COUNTIFS($A$5:$A$604,A75,$B$5:$B$604,B75,$C$5:$C$604,C75)&gt;1,"Fila duplicada","OK")))))))</f>
        <v/>
      </c>
      <c r="K75" s="9"/>
    </row>
    <row r="76" customFormat="false" ht="15" hidden="false" customHeight="false" outlineLevel="0" collapsed="false">
      <c r="A76" s="7"/>
      <c r="B76" s="8"/>
      <c r="C76" s="9"/>
      <c r="D76" s="20"/>
      <c r="E76" s="10"/>
      <c r="F76" s="9"/>
      <c r="G76" s="11" t="str">
        <f aca="false">IF(C76="","",IFERROR(INDEX(Catálogo!$B$5:$B$2000,MATCH(C76,Catálogo!$A$5:$A$2000,0)),""))</f>
        <v/>
      </c>
      <c r="H76" s="11" t="str">
        <f aca="false">IF(C76="","",IFERROR(INDEX(Catálogo!$C$5:$C$2000,MATCH(C76,Catálogo!$A$5:$A$2000,0)),""))</f>
        <v/>
      </c>
      <c r="I76" s="11" t="str">
        <f aca="false">IF(D76="","",IF(D76&gt;UmbralAlarma,"Alarmante",IF(D76&gt;=UmbralRegular,"Regular","Bueno")))</f>
        <v/>
      </c>
      <c r="J76" s="11" t="str">
        <f aca="true">IF(COUNTA(A76:F76)=0,"",IF(OR(A76="",B76="",C76="",D76=""),"Faltan datos",IF(G76="","AP no está en el catálogo",IF(A76&gt;TODAY()+1,"Fecha futura",IF(OR(D76&lt;0,D76&lt;&gt;INT(D76)),"Usuarios no válidos",IF(AND(E76&lt;&gt;"",OR(E76&lt;0,E76&gt;1)),"Utilización fuera de 0-100%",IF(COUNTIFS($A$5:$A$604,A76,$B$5:$B$604,B76,$C$5:$C$604,C76)&gt;1,"Fila duplicada","OK")))))))</f>
        <v/>
      </c>
      <c r="K76" s="9"/>
    </row>
    <row r="77" customFormat="false" ht="15" hidden="false" customHeight="false" outlineLevel="0" collapsed="false">
      <c r="A77" s="7"/>
      <c r="B77" s="8"/>
      <c r="C77" s="9"/>
      <c r="D77" s="20"/>
      <c r="E77" s="10"/>
      <c r="F77" s="9"/>
      <c r="G77" s="11" t="str">
        <f aca="false">IF(C77="","",IFERROR(INDEX(Catálogo!$B$5:$B$2000,MATCH(C77,Catálogo!$A$5:$A$2000,0)),""))</f>
        <v/>
      </c>
      <c r="H77" s="11" t="str">
        <f aca="false">IF(C77="","",IFERROR(INDEX(Catálogo!$C$5:$C$2000,MATCH(C77,Catálogo!$A$5:$A$2000,0)),""))</f>
        <v/>
      </c>
      <c r="I77" s="11" t="str">
        <f aca="false">IF(D77="","",IF(D77&gt;UmbralAlarma,"Alarmante",IF(D77&gt;=UmbralRegular,"Regular","Bueno")))</f>
        <v/>
      </c>
      <c r="J77" s="11" t="str">
        <f aca="true">IF(COUNTA(A77:F77)=0,"",IF(OR(A77="",B77="",C77="",D77=""),"Faltan datos",IF(G77="","AP no está en el catálogo",IF(A77&gt;TODAY()+1,"Fecha futura",IF(OR(D77&lt;0,D77&lt;&gt;INT(D77)),"Usuarios no válidos",IF(AND(E77&lt;&gt;"",OR(E77&lt;0,E77&gt;1)),"Utilización fuera de 0-100%",IF(COUNTIFS($A$5:$A$604,A77,$B$5:$B$604,B77,$C$5:$C$604,C77)&gt;1,"Fila duplicada","OK")))))))</f>
        <v/>
      </c>
      <c r="K77" s="9"/>
    </row>
    <row r="78" customFormat="false" ht="15" hidden="false" customHeight="false" outlineLevel="0" collapsed="false">
      <c r="A78" s="7"/>
      <c r="B78" s="8"/>
      <c r="C78" s="9"/>
      <c r="D78" s="20"/>
      <c r="E78" s="10"/>
      <c r="F78" s="9"/>
      <c r="G78" s="11" t="str">
        <f aca="false">IF(C78="","",IFERROR(INDEX(Catálogo!$B$5:$B$2000,MATCH(C78,Catálogo!$A$5:$A$2000,0)),""))</f>
        <v/>
      </c>
      <c r="H78" s="11" t="str">
        <f aca="false">IF(C78="","",IFERROR(INDEX(Catálogo!$C$5:$C$2000,MATCH(C78,Catálogo!$A$5:$A$2000,0)),""))</f>
        <v/>
      </c>
      <c r="I78" s="11" t="str">
        <f aca="false">IF(D78="","",IF(D78&gt;UmbralAlarma,"Alarmante",IF(D78&gt;=UmbralRegular,"Regular","Bueno")))</f>
        <v/>
      </c>
      <c r="J78" s="11" t="str">
        <f aca="true">IF(COUNTA(A78:F78)=0,"",IF(OR(A78="",B78="",C78="",D78=""),"Faltan datos",IF(G78="","AP no está en el catálogo",IF(A78&gt;TODAY()+1,"Fecha futura",IF(OR(D78&lt;0,D78&lt;&gt;INT(D78)),"Usuarios no válidos",IF(AND(E78&lt;&gt;"",OR(E78&lt;0,E78&gt;1)),"Utilización fuera de 0-100%",IF(COUNTIFS($A$5:$A$604,A78,$B$5:$B$604,B78,$C$5:$C$604,C78)&gt;1,"Fila duplicada","OK")))))))</f>
        <v/>
      </c>
      <c r="K78" s="9"/>
    </row>
    <row r="79" customFormat="false" ht="15" hidden="false" customHeight="false" outlineLevel="0" collapsed="false">
      <c r="A79" s="7"/>
      <c r="B79" s="8"/>
      <c r="C79" s="9"/>
      <c r="D79" s="20"/>
      <c r="E79" s="10"/>
      <c r="F79" s="9"/>
      <c r="G79" s="11" t="str">
        <f aca="false">IF(C79="","",IFERROR(INDEX(Catálogo!$B$5:$B$2000,MATCH(C79,Catálogo!$A$5:$A$2000,0)),""))</f>
        <v/>
      </c>
      <c r="H79" s="11" t="str">
        <f aca="false">IF(C79="","",IFERROR(INDEX(Catálogo!$C$5:$C$2000,MATCH(C79,Catálogo!$A$5:$A$2000,0)),""))</f>
        <v/>
      </c>
      <c r="I79" s="11" t="str">
        <f aca="false">IF(D79="","",IF(D79&gt;UmbralAlarma,"Alarmante",IF(D79&gt;=UmbralRegular,"Regular","Bueno")))</f>
        <v/>
      </c>
      <c r="J79" s="11" t="str">
        <f aca="true">IF(COUNTA(A79:F79)=0,"",IF(OR(A79="",B79="",C79="",D79=""),"Faltan datos",IF(G79="","AP no está en el catálogo",IF(A79&gt;TODAY()+1,"Fecha futura",IF(OR(D79&lt;0,D79&lt;&gt;INT(D79)),"Usuarios no válidos",IF(AND(E79&lt;&gt;"",OR(E79&lt;0,E79&gt;1)),"Utilización fuera de 0-100%",IF(COUNTIFS($A$5:$A$604,A79,$B$5:$B$604,B79,$C$5:$C$604,C79)&gt;1,"Fila duplicada","OK")))))))</f>
        <v/>
      </c>
      <c r="K79" s="9"/>
    </row>
    <row r="80" customFormat="false" ht="15" hidden="false" customHeight="false" outlineLevel="0" collapsed="false">
      <c r="A80" s="7"/>
      <c r="B80" s="8"/>
      <c r="C80" s="9"/>
      <c r="D80" s="20"/>
      <c r="E80" s="10"/>
      <c r="F80" s="9"/>
      <c r="G80" s="11" t="str">
        <f aca="false">IF(C80="","",IFERROR(INDEX(Catálogo!$B$5:$B$2000,MATCH(C80,Catálogo!$A$5:$A$2000,0)),""))</f>
        <v/>
      </c>
      <c r="H80" s="11" t="str">
        <f aca="false">IF(C80="","",IFERROR(INDEX(Catálogo!$C$5:$C$2000,MATCH(C80,Catálogo!$A$5:$A$2000,0)),""))</f>
        <v/>
      </c>
      <c r="I80" s="11" t="str">
        <f aca="false">IF(D80="","",IF(D80&gt;UmbralAlarma,"Alarmante",IF(D80&gt;=UmbralRegular,"Regular","Bueno")))</f>
        <v/>
      </c>
      <c r="J80" s="11" t="str">
        <f aca="true">IF(COUNTA(A80:F80)=0,"",IF(OR(A80="",B80="",C80="",D80=""),"Faltan datos",IF(G80="","AP no está en el catálogo",IF(A80&gt;TODAY()+1,"Fecha futura",IF(OR(D80&lt;0,D80&lt;&gt;INT(D80)),"Usuarios no válidos",IF(AND(E80&lt;&gt;"",OR(E80&lt;0,E80&gt;1)),"Utilización fuera de 0-100%",IF(COUNTIFS($A$5:$A$604,A80,$B$5:$B$604,B80,$C$5:$C$604,C80)&gt;1,"Fila duplicada","OK")))))))</f>
        <v/>
      </c>
      <c r="K80" s="9"/>
    </row>
    <row r="81" customFormat="false" ht="15" hidden="false" customHeight="false" outlineLevel="0" collapsed="false">
      <c r="A81" s="7"/>
      <c r="B81" s="8"/>
      <c r="C81" s="9"/>
      <c r="D81" s="20"/>
      <c r="E81" s="10"/>
      <c r="F81" s="9"/>
      <c r="G81" s="11" t="str">
        <f aca="false">IF(C81="","",IFERROR(INDEX(Catálogo!$B$5:$B$2000,MATCH(C81,Catálogo!$A$5:$A$2000,0)),""))</f>
        <v/>
      </c>
      <c r="H81" s="11" t="str">
        <f aca="false">IF(C81="","",IFERROR(INDEX(Catálogo!$C$5:$C$2000,MATCH(C81,Catálogo!$A$5:$A$2000,0)),""))</f>
        <v/>
      </c>
      <c r="I81" s="11" t="str">
        <f aca="false">IF(D81="","",IF(D81&gt;UmbralAlarma,"Alarmante",IF(D81&gt;=UmbralRegular,"Regular","Bueno")))</f>
        <v/>
      </c>
      <c r="J81" s="11" t="str">
        <f aca="true">IF(COUNTA(A81:F81)=0,"",IF(OR(A81="",B81="",C81="",D81=""),"Faltan datos",IF(G81="","AP no está en el catálogo",IF(A81&gt;TODAY()+1,"Fecha futura",IF(OR(D81&lt;0,D81&lt;&gt;INT(D81)),"Usuarios no válidos",IF(AND(E81&lt;&gt;"",OR(E81&lt;0,E81&gt;1)),"Utilización fuera de 0-100%",IF(COUNTIFS($A$5:$A$604,A81,$B$5:$B$604,B81,$C$5:$C$604,C81)&gt;1,"Fila duplicada","OK")))))))</f>
        <v/>
      </c>
      <c r="K81" s="9"/>
    </row>
    <row r="82" customFormat="false" ht="15" hidden="false" customHeight="false" outlineLevel="0" collapsed="false">
      <c r="A82" s="7"/>
      <c r="B82" s="8"/>
      <c r="C82" s="9"/>
      <c r="D82" s="20"/>
      <c r="E82" s="10"/>
      <c r="F82" s="9"/>
      <c r="G82" s="11" t="str">
        <f aca="false">IF(C82="","",IFERROR(INDEX(Catálogo!$B$5:$B$2000,MATCH(C82,Catálogo!$A$5:$A$2000,0)),""))</f>
        <v/>
      </c>
      <c r="H82" s="11" t="str">
        <f aca="false">IF(C82="","",IFERROR(INDEX(Catálogo!$C$5:$C$2000,MATCH(C82,Catálogo!$A$5:$A$2000,0)),""))</f>
        <v/>
      </c>
      <c r="I82" s="11" t="str">
        <f aca="false">IF(D82="","",IF(D82&gt;UmbralAlarma,"Alarmante",IF(D82&gt;=UmbralRegular,"Regular","Bueno")))</f>
        <v/>
      </c>
      <c r="J82" s="11" t="str">
        <f aca="true">IF(COUNTA(A82:F82)=0,"",IF(OR(A82="",B82="",C82="",D82=""),"Faltan datos",IF(G82="","AP no está en el catálogo",IF(A82&gt;TODAY()+1,"Fecha futura",IF(OR(D82&lt;0,D82&lt;&gt;INT(D82)),"Usuarios no válidos",IF(AND(E82&lt;&gt;"",OR(E82&lt;0,E82&gt;1)),"Utilización fuera de 0-100%",IF(COUNTIFS($A$5:$A$604,A82,$B$5:$B$604,B82,$C$5:$C$604,C82)&gt;1,"Fila duplicada","OK")))))))</f>
        <v/>
      </c>
      <c r="K82" s="9"/>
    </row>
    <row r="83" customFormat="false" ht="15" hidden="false" customHeight="false" outlineLevel="0" collapsed="false">
      <c r="A83" s="7"/>
      <c r="B83" s="8"/>
      <c r="C83" s="9"/>
      <c r="D83" s="20"/>
      <c r="E83" s="10"/>
      <c r="F83" s="9"/>
      <c r="G83" s="11" t="str">
        <f aca="false">IF(C83="","",IFERROR(INDEX(Catálogo!$B$5:$B$2000,MATCH(C83,Catálogo!$A$5:$A$2000,0)),""))</f>
        <v/>
      </c>
      <c r="H83" s="11" t="str">
        <f aca="false">IF(C83="","",IFERROR(INDEX(Catálogo!$C$5:$C$2000,MATCH(C83,Catálogo!$A$5:$A$2000,0)),""))</f>
        <v/>
      </c>
      <c r="I83" s="11" t="str">
        <f aca="false">IF(D83="","",IF(D83&gt;UmbralAlarma,"Alarmante",IF(D83&gt;=UmbralRegular,"Regular","Bueno")))</f>
        <v/>
      </c>
      <c r="J83" s="11" t="str">
        <f aca="true">IF(COUNTA(A83:F83)=0,"",IF(OR(A83="",B83="",C83="",D83=""),"Faltan datos",IF(G83="","AP no está en el catálogo",IF(A83&gt;TODAY()+1,"Fecha futura",IF(OR(D83&lt;0,D83&lt;&gt;INT(D83)),"Usuarios no válidos",IF(AND(E83&lt;&gt;"",OR(E83&lt;0,E83&gt;1)),"Utilización fuera de 0-100%",IF(COUNTIFS($A$5:$A$604,A83,$B$5:$B$604,B83,$C$5:$C$604,C83)&gt;1,"Fila duplicada","OK")))))))</f>
        <v/>
      </c>
      <c r="K83" s="9"/>
    </row>
    <row r="84" customFormat="false" ht="15" hidden="false" customHeight="false" outlineLevel="0" collapsed="false">
      <c r="A84" s="7"/>
      <c r="B84" s="8"/>
      <c r="C84" s="9"/>
      <c r="D84" s="20"/>
      <c r="E84" s="10"/>
      <c r="F84" s="9"/>
      <c r="G84" s="11" t="str">
        <f aca="false">IF(C84="","",IFERROR(INDEX(Catálogo!$B$5:$B$2000,MATCH(C84,Catálogo!$A$5:$A$2000,0)),""))</f>
        <v/>
      </c>
      <c r="H84" s="11" t="str">
        <f aca="false">IF(C84="","",IFERROR(INDEX(Catálogo!$C$5:$C$2000,MATCH(C84,Catálogo!$A$5:$A$2000,0)),""))</f>
        <v/>
      </c>
      <c r="I84" s="11" t="str">
        <f aca="false">IF(D84="","",IF(D84&gt;UmbralAlarma,"Alarmante",IF(D84&gt;=UmbralRegular,"Regular","Bueno")))</f>
        <v/>
      </c>
      <c r="J84" s="11" t="str">
        <f aca="true">IF(COUNTA(A84:F84)=0,"",IF(OR(A84="",B84="",C84="",D84=""),"Faltan datos",IF(G84="","AP no está en el catálogo",IF(A84&gt;TODAY()+1,"Fecha futura",IF(OR(D84&lt;0,D84&lt;&gt;INT(D84)),"Usuarios no válidos",IF(AND(E84&lt;&gt;"",OR(E84&lt;0,E84&gt;1)),"Utilización fuera de 0-100%",IF(COUNTIFS($A$5:$A$604,A84,$B$5:$B$604,B84,$C$5:$C$604,C84)&gt;1,"Fila duplicada","OK")))))))</f>
        <v/>
      </c>
      <c r="K84" s="9"/>
    </row>
    <row r="85" customFormat="false" ht="15" hidden="false" customHeight="false" outlineLevel="0" collapsed="false">
      <c r="A85" s="7"/>
      <c r="B85" s="8"/>
      <c r="C85" s="9"/>
      <c r="D85" s="20"/>
      <c r="E85" s="10"/>
      <c r="F85" s="9"/>
      <c r="G85" s="11" t="str">
        <f aca="false">IF(C85="","",IFERROR(INDEX(Catálogo!$B$5:$B$2000,MATCH(C85,Catálogo!$A$5:$A$2000,0)),""))</f>
        <v/>
      </c>
      <c r="H85" s="11" t="str">
        <f aca="false">IF(C85="","",IFERROR(INDEX(Catálogo!$C$5:$C$2000,MATCH(C85,Catálogo!$A$5:$A$2000,0)),""))</f>
        <v/>
      </c>
      <c r="I85" s="11" t="str">
        <f aca="false">IF(D85="","",IF(D85&gt;UmbralAlarma,"Alarmante",IF(D85&gt;=UmbralRegular,"Regular","Bueno")))</f>
        <v/>
      </c>
      <c r="J85" s="11" t="str">
        <f aca="true">IF(COUNTA(A85:F85)=0,"",IF(OR(A85="",B85="",C85="",D85=""),"Faltan datos",IF(G85="","AP no está en el catálogo",IF(A85&gt;TODAY()+1,"Fecha futura",IF(OR(D85&lt;0,D85&lt;&gt;INT(D85)),"Usuarios no válidos",IF(AND(E85&lt;&gt;"",OR(E85&lt;0,E85&gt;1)),"Utilización fuera de 0-100%",IF(COUNTIFS($A$5:$A$604,A85,$B$5:$B$604,B85,$C$5:$C$604,C85)&gt;1,"Fila duplicada","OK")))))))</f>
        <v/>
      </c>
      <c r="K85" s="9"/>
    </row>
    <row r="86" customFormat="false" ht="15" hidden="false" customHeight="false" outlineLevel="0" collapsed="false">
      <c r="A86" s="7"/>
      <c r="B86" s="8"/>
      <c r="C86" s="9"/>
      <c r="D86" s="20"/>
      <c r="E86" s="10"/>
      <c r="F86" s="9"/>
      <c r="G86" s="11" t="str">
        <f aca="false">IF(C86="","",IFERROR(INDEX(Catálogo!$B$5:$B$2000,MATCH(C86,Catálogo!$A$5:$A$2000,0)),""))</f>
        <v/>
      </c>
      <c r="H86" s="11" t="str">
        <f aca="false">IF(C86="","",IFERROR(INDEX(Catálogo!$C$5:$C$2000,MATCH(C86,Catálogo!$A$5:$A$2000,0)),""))</f>
        <v/>
      </c>
      <c r="I86" s="11" t="str">
        <f aca="false">IF(D86="","",IF(D86&gt;UmbralAlarma,"Alarmante",IF(D86&gt;=UmbralRegular,"Regular","Bueno")))</f>
        <v/>
      </c>
      <c r="J86" s="11" t="str">
        <f aca="true">IF(COUNTA(A86:F86)=0,"",IF(OR(A86="",B86="",C86="",D86=""),"Faltan datos",IF(G86="","AP no está en el catálogo",IF(A86&gt;TODAY()+1,"Fecha futura",IF(OR(D86&lt;0,D86&lt;&gt;INT(D86)),"Usuarios no válidos",IF(AND(E86&lt;&gt;"",OR(E86&lt;0,E86&gt;1)),"Utilización fuera de 0-100%",IF(COUNTIFS($A$5:$A$604,A86,$B$5:$B$604,B86,$C$5:$C$604,C86)&gt;1,"Fila duplicada","OK")))))))</f>
        <v/>
      </c>
      <c r="K86" s="9"/>
    </row>
    <row r="87" customFormat="false" ht="15" hidden="false" customHeight="false" outlineLevel="0" collapsed="false">
      <c r="A87" s="7"/>
      <c r="B87" s="8"/>
      <c r="C87" s="9"/>
      <c r="D87" s="20"/>
      <c r="E87" s="10"/>
      <c r="F87" s="9"/>
      <c r="G87" s="11" t="str">
        <f aca="false">IF(C87="","",IFERROR(INDEX(Catálogo!$B$5:$B$2000,MATCH(C87,Catálogo!$A$5:$A$2000,0)),""))</f>
        <v/>
      </c>
      <c r="H87" s="11" t="str">
        <f aca="false">IF(C87="","",IFERROR(INDEX(Catálogo!$C$5:$C$2000,MATCH(C87,Catálogo!$A$5:$A$2000,0)),""))</f>
        <v/>
      </c>
      <c r="I87" s="11" t="str">
        <f aca="false">IF(D87="","",IF(D87&gt;UmbralAlarma,"Alarmante",IF(D87&gt;=UmbralRegular,"Regular","Bueno")))</f>
        <v/>
      </c>
      <c r="J87" s="11" t="str">
        <f aca="true">IF(COUNTA(A87:F87)=0,"",IF(OR(A87="",B87="",C87="",D87=""),"Faltan datos",IF(G87="","AP no está en el catálogo",IF(A87&gt;TODAY()+1,"Fecha futura",IF(OR(D87&lt;0,D87&lt;&gt;INT(D87)),"Usuarios no válidos",IF(AND(E87&lt;&gt;"",OR(E87&lt;0,E87&gt;1)),"Utilización fuera de 0-100%",IF(COUNTIFS($A$5:$A$604,A87,$B$5:$B$604,B87,$C$5:$C$604,C87)&gt;1,"Fila duplicada","OK")))))))</f>
        <v/>
      </c>
      <c r="K87" s="9"/>
    </row>
    <row r="88" customFormat="false" ht="15" hidden="false" customHeight="false" outlineLevel="0" collapsed="false">
      <c r="A88" s="7"/>
      <c r="B88" s="8"/>
      <c r="C88" s="9"/>
      <c r="D88" s="20"/>
      <c r="E88" s="10"/>
      <c r="F88" s="9"/>
      <c r="G88" s="11" t="str">
        <f aca="false">IF(C88="","",IFERROR(INDEX(Catálogo!$B$5:$B$2000,MATCH(C88,Catálogo!$A$5:$A$2000,0)),""))</f>
        <v/>
      </c>
      <c r="H88" s="11" t="str">
        <f aca="false">IF(C88="","",IFERROR(INDEX(Catálogo!$C$5:$C$2000,MATCH(C88,Catálogo!$A$5:$A$2000,0)),""))</f>
        <v/>
      </c>
      <c r="I88" s="11" t="str">
        <f aca="false">IF(D88="","",IF(D88&gt;UmbralAlarma,"Alarmante",IF(D88&gt;=UmbralRegular,"Regular","Bueno")))</f>
        <v/>
      </c>
      <c r="J88" s="11" t="str">
        <f aca="true">IF(COUNTA(A88:F88)=0,"",IF(OR(A88="",B88="",C88="",D88=""),"Faltan datos",IF(G88="","AP no está en el catálogo",IF(A88&gt;TODAY()+1,"Fecha futura",IF(OR(D88&lt;0,D88&lt;&gt;INT(D88)),"Usuarios no válidos",IF(AND(E88&lt;&gt;"",OR(E88&lt;0,E88&gt;1)),"Utilización fuera de 0-100%",IF(COUNTIFS($A$5:$A$604,A88,$B$5:$B$604,B88,$C$5:$C$604,C88)&gt;1,"Fila duplicada","OK")))))))</f>
        <v/>
      </c>
      <c r="K88" s="9"/>
    </row>
    <row r="89" customFormat="false" ht="15" hidden="false" customHeight="false" outlineLevel="0" collapsed="false">
      <c r="A89" s="7"/>
      <c r="B89" s="8"/>
      <c r="C89" s="9"/>
      <c r="D89" s="20"/>
      <c r="E89" s="10"/>
      <c r="F89" s="9"/>
      <c r="G89" s="11" t="str">
        <f aca="false">IF(C89="","",IFERROR(INDEX(Catálogo!$B$5:$B$2000,MATCH(C89,Catálogo!$A$5:$A$2000,0)),""))</f>
        <v/>
      </c>
      <c r="H89" s="11" t="str">
        <f aca="false">IF(C89="","",IFERROR(INDEX(Catálogo!$C$5:$C$2000,MATCH(C89,Catálogo!$A$5:$A$2000,0)),""))</f>
        <v/>
      </c>
      <c r="I89" s="11" t="str">
        <f aca="false">IF(D89="","",IF(D89&gt;UmbralAlarma,"Alarmante",IF(D89&gt;=UmbralRegular,"Regular","Bueno")))</f>
        <v/>
      </c>
      <c r="J89" s="11" t="str">
        <f aca="true">IF(COUNTA(A89:F89)=0,"",IF(OR(A89="",B89="",C89="",D89=""),"Faltan datos",IF(G89="","AP no está en el catálogo",IF(A89&gt;TODAY()+1,"Fecha futura",IF(OR(D89&lt;0,D89&lt;&gt;INT(D89)),"Usuarios no válidos",IF(AND(E89&lt;&gt;"",OR(E89&lt;0,E89&gt;1)),"Utilización fuera de 0-100%",IF(COUNTIFS($A$5:$A$604,A89,$B$5:$B$604,B89,$C$5:$C$604,C89)&gt;1,"Fila duplicada","OK")))))))</f>
        <v/>
      </c>
      <c r="K89" s="9"/>
    </row>
    <row r="90" customFormat="false" ht="15" hidden="false" customHeight="false" outlineLevel="0" collapsed="false">
      <c r="A90" s="7"/>
      <c r="B90" s="8"/>
      <c r="C90" s="9"/>
      <c r="D90" s="20"/>
      <c r="E90" s="10"/>
      <c r="F90" s="9"/>
      <c r="G90" s="11" t="str">
        <f aca="false">IF(C90="","",IFERROR(INDEX(Catálogo!$B$5:$B$2000,MATCH(C90,Catálogo!$A$5:$A$2000,0)),""))</f>
        <v/>
      </c>
      <c r="H90" s="11" t="str">
        <f aca="false">IF(C90="","",IFERROR(INDEX(Catálogo!$C$5:$C$2000,MATCH(C90,Catálogo!$A$5:$A$2000,0)),""))</f>
        <v/>
      </c>
      <c r="I90" s="11" t="str">
        <f aca="false">IF(D90="","",IF(D90&gt;UmbralAlarma,"Alarmante",IF(D90&gt;=UmbralRegular,"Regular","Bueno")))</f>
        <v/>
      </c>
      <c r="J90" s="11" t="str">
        <f aca="true">IF(COUNTA(A90:F90)=0,"",IF(OR(A90="",B90="",C90="",D90=""),"Faltan datos",IF(G90="","AP no está en el catálogo",IF(A90&gt;TODAY()+1,"Fecha futura",IF(OR(D90&lt;0,D90&lt;&gt;INT(D90)),"Usuarios no válidos",IF(AND(E90&lt;&gt;"",OR(E90&lt;0,E90&gt;1)),"Utilización fuera de 0-100%",IF(COUNTIFS($A$5:$A$604,A90,$B$5:$B$604,B90,$C$5:$C$604,C90)&gt;1,"Fila duplicada","OK")))))))</f>
        <v/>
      </c>
      <c r="K90" s="9"/>
    </row>
    <row r="91" customFormat="false" ht="15" hidden="false" customHeight="false" outlineLevel="0" collapsed="false">
      <c r="A91" s="7"/>
      <c r="B91" s="8"/>
      <c r="C91" s="9"/>
      <c r="D91" s="20"/>
      <c r="E91" s="10"/>
      <c r="F91" s="9"/>
      <c r="G91" s="11" t="str">
        <f aca="false">IF(C91="","",IFERROR(INDEX(Catálogo!$B$5:$B$2000,MATCH(C91,Catálogo!$A$5:$A$2000,0)),""))</f>
        <v/>
      </c>
      <c r="H91" s="11" t="str">
        <f aca="false">IF(C91="","",IFERROR(INDEX(Catálogo!$C$5:$C$2000,MATCH(C91,Catálogo!$A$5:$A$2000,0)),""))</f>
        <v/>
      </c>
      <c r="I91" s="11" t="str">
        <f aca="false">IF(D91="","",IF(D91&gt;UmbralAlarma,"Alarmante",IF(D91&gt;=UmbralRegular,"Regular","Bueno")))</f>
        <v/>
      </c>
      <c r="J91" s="11" t="str">
        <f aca="true">IF(COUNTA(A91:F91)=0,"",IF(OR(A91="",B91="",C91="",D91=""),"Faltan datos",IF(G91="","AP no está en el catálogo",IF(A91&gt;TODAY()+1,"Fecha futura",IF(OR(D91&lt;0,D91&lt;&gt;INT(D91)),"Usuarios no válidos",IF(AND(E91&lt;&gt;"",OR(E91&lt;0,E91&gt;1)),"Utilización fuera de 0-100%",IF(COUNTIFS($A$5:$A$604,A91,$B$5:$B$604,B91,$C$5:$C$604,C91)&gt;1,"Fila duplicada","OK")))))))</f>
        <v/>
      </c>
      <c r="K91" s="9"/>
    </row>
    <row r="92" customFormat="false" ht="15" hidden="false" customHeight="false" outlineLevel="0" collapsed="false">
      <c r="A92" s="7"/>
      <c r="B92" s="8"/>
      <c r="C92" s="9"/>
      <c r="D92" s="20"/>
      <c r="E92" s="10"/>
      <c r="F92" s="9"/>
      <c r="G92" s="11" t="str">
        <f aca="false">IF(C92="","",IFERROR(INDEX(Catálogo!$B$5:$B$2000,MATCH(C92,Catálogo!$A$5:$A$2000,0)),""))</f>
        <v/>
      </c>
      <c r="H92" s="11" t="str">
        <f aca="false">IF(C92="","",IFERROR(INDEX(Catálogo!$C$5:$C$2000,MATCH(C92,Catálogo!$A$5:$A$2000,0)),""))</f>
        <v/>
      </c>
      <c r="I92" s="11" t="str">
        <f aca="false">IF(D92="","",IF(D92&gt;UmbralAlarma,"Alarmante",IF(D92&gt;=UmbralRegular,"Regular","Bueno")))</f>
        <v/>
      </c>
      <c r="J92" s="11" t="str">
        <f aca="true">IF(COUNTA(A92:F92)=0,"",IF(OR(A92="",B92="",C92="",D92=""),"Faltan datos",IF(G92="","AP no está en el catálogo",IF(A92&gt;TODAY()+1,"Fecha futura",IF(OR(D92&lt;0,D92&lt;&gt;INT(D92)),"Usuarios no válidos",IF(AND(E92&lt;&gt;"",OR(E92&lt;0,E92&gt;1)),"Utilización fuera de 0-100%",IF(COUNTIFS($A$5:$A$604,A92,$B$5:$B$604,B92,$C$5:$C$604,C92)&gt;1,"Fila duplicada","OK")))))))</f>
        <v/>
      </c>
      <c r="K92" s="9"/>
    </row>
    <row r="93" customFormat="false" ht="15" hidden="false" customHeight="false" outlineLevel="0" collapsed="false">
      <c r="A93" s="7"/>
      <c r="B93" s="8"/>
      <c r="C93" s="9"/>
      <c r="D93" s="20"/>
      <c r="E93" s="10"/>
      <c r="F93" s="9"/>
      <c r="G93" s="11" t="str">
        <f aca="false">IF(C93="","",IFERROR(INDEX(Catálogo!$B$5:$B$2000,MATCH(C93,Catálogo!$A$5:$A$2000,0)),""))</f>
        <v/>
      </c>
      <c r="H93" s="11" t="str">
        <f aca="false">IF(C93="","",IFERROR(INDEX(Catálogo!$C$5:$C$2000,MATCH(C93,Catálogo!$A$5:$A$2000,0)),""))</f>
        <v/>
      </c>
      <c r="I93" s="11" t="str">
        <f aca="false">IF(D93="","",IF(D93&gt;UmbralAlarma,"Alarmante",IF(D93&gt;=UmbralRegular,"Regular","Bueno")))</f>
        <v/>
      </c>
      <c r="J93" s="11" t="str">
        <f aca="true">IF(COUNTA(A93:F93)=0,"",IF(OR(A93="",B93="",C93="",D93=""),"Faltan datos",IF(G93="","AP no está en el catálogo",IF(A93&gt;TODAY()+1,"Fecha futura",IF(OR(D93&lt;0,D93&lt;&gt;INT(D93)),"Usuarios no válidos",IF(AND(E93&lt;&gt;"",OR(E93&lt;0,E93&gt;1)),"Utilización fuera de 0-100%",IF(COUNTIFS($A$5:$A$604,A93,$B$5:$B$604,B93,$C$5:$C$604,C93)&gt;1,"Fila duplicada","OK")))))))</f>
        <v/>
      </c>
      <c r="K93" s="9"/>
    </row>
    <row r="94" customFormat="false" ht="15" hidden="false" customHeight="false" outlineLevel="0" collapsed="false">
      <c r="A94" s="7"/>
      <c r="B94" s="8"/>
      <c r="C94" s="9"/>
      <c r="D94" s="20"/>
      <c r="E94" s="10"/>
      <c r="F94" s="9"/>
      <c r="G94" s="11" t="str">
        <f aca="false">IF(C94="","",IFERROR(INDEX(Catálogo!$B$5:$B$2000,MATCH(C94,Catálogo!$A$5:$A$2000,0)),""))</f>
        <v/>
      </c>
      <c r="H94" s="11" t="str">
        <f aca="false">IF(C94="","",IFERROR(INDEX(Catálogo!$C$5:$C$2000,MATCH(C94,Catálogo!$A$5:$A$2000,0)),""))</f>
        <v/>
      </c>
      <c r="I94" s="11" t="str">
        <f aca="false">IF(D94="","",IF(D94&gt;UmbralAlarma,"Alarmante",IF(D94&gt;=UmbralRegular,"Regular","Bueno")))</f>
        <v/>
      </c>
      <c r="J94" s="11" t="str">
        <f aca="true">IF(COUNTA(A94:F94)=0,"",IF(OR(A94="",B94="",C94="",D94=""),"Faltan datos",IF(G94="","AP no está en el catálogo",IF(A94&gt;TODAY()+1,"Fecha futura",IF(OR(D94&lt;0,D94&lt;&gt;INT(D94)),"Usuarios no válidos",IF(AND(E94&lt;&gt;"",OR(E94&lt;0,E94&gt;1)),"Utilización fuera de 0-100%",IF(COUNTIFS($A$5:$A$604,A94,$B$5:$B$604,B94,$C$5:$C$604,C94)&gt;1,"Fila duplicada","OK")))))))</f>
        <v/>
      </c>
      <c r="K94" s="9"/>
    </row>
    <row r="95" customFormat="false" ht="15" hidden="false" customHeight="false" outlineLevel="0" collapsed="false">
      <c r="A95" s="7"/>
      <c r="B95" s="8"/>
      <c r="C95" s="9"/>
      <c r="D95" s="20"/>
      <c r="E95" s="10"/>
      <c r="F95" s="9"/>
      <c r="G95" s="11" t="str">
        <f aca="false">IF(C95="","",IFERROR(INDEX(Catálogo!$B$5:$B$2000,MATCH(C95,Catálogo!$A$5:$A$2000,0)),""))</f>
        <v/>
      </c>
      <c r="H95" s="11" t="str">
        <f aca="false">IF(C95="","",IFERROR(INDEX(Catálogo!$C$5:$C$2000,MATCH(C95,Catálogo!$A$5:$A$2000,0)),""))</f>
        <v/>
      </c>
      <c r="I95" s="11" t="str">
        <f aca="false">IF(D95="","",IF(D95&gt;UmbralAlarma,"Alarmante",IF(D95&gt;=UmbralRegular,"Regular","Bueno")))</f>
        <v/>
      </c>
      <c r="J95" s="11" t="str">
        <f aca="true">IF(COUNTA(A95:F95)=0,"",IF(OR(A95="",B95="",C95="",D95=""),"Faltan datos",IF(G95="","AP no está en el catálogo",IF(A95&gt;TODAY()+1,"Fecha futura",IF(OR(D95&lt;0,D95&lt;&gt;INT(D95)),"Usuarios no válidos",IF(AND(E95&lt;&gt;"",OR(E95&lt;0,E95&gt;1)),"Utilización fuera de 0-100%",IF(COUNTIFS($A$5:$A$604,A95,$B$5:$B$604,B95,$C$5:$C$604,C95)&gt;1,"Fila duplicada","OK")))))))</f>
        <v/>
      </c>
      <c r="K95" s="9"/>
    </row>
    <row r="96" customFormat="false" ht="15" hidden="false" customHeight="false" outlineLevel="0" collapsed="false">
      <c r="A96" s="7"/>
      <c r="B96" s="8"/>
      <c r="C96" s="9"/>
      <c r="D96" s="20"/>
      <c r="E96" s="10"/>
      <c r="F96" s="9"/>
      <c r="G96" s="11" t="str">
        <f aca="false">IF(C96="","",IFERROR(INDEX(Catálogo!$B$5:$B$2000,MATCH(C96,Catálogo!$A$5:$A$2000,0)),""))</f>
        <v/>
      </c>
      <c r="H96" s="11" t="str">
        <f aca="false">IF(C96="","",IFERROR(INDEX(Catálogo!$C$5:$C$2000,MATCH(C96,Catálogo!$A$5:$A$2000,0)),""))</f>
        <v/>
      </c>
      <c r="I96" s="11" t="str">
        <f aca="false">IF(D96="","",IF(D96&gt;UmbralAlarma,"Alarmante",IF(D96&gt;=UmbralRegular,"Regular","Bueno")))</f>
        <v/>
      </c>
      <c r="J96" s="11" t="str">
        <f aca="true">IF(COUNTA(A96:F96)=0,"",IF(OR(A96="",B96="",C96="",D96=""),"Faltan datos",IF(G96="","AP no está en el catálogo",IF(A96&gt;TODAY()+1,"Fecha futura",IF(OR(D96&lt;0,D96&lt;&gt;INT(D96)),"Usuarios no válidos",IF(AND(E96&lt;&gt;"",OR(E96&lt;0,E96&gt;1)),"Utilización fuera de 0-100%",IF(COUNTIFS($A$5:$A$604,A96,$B$5:$B$604,B96,$C$5:$C$604,C96)&gt;1,"Fila duplicada","OK")))))))</f>
        <v/>
      </c>
      <c r="K96" s="9"/>
    </row>
    <row r="97" customFormat="false" ht="15" hidden="false" customHeight="false" outlineLevel="0" collapsed="false">
      <c r="A97" s="7"/>
      <c r="B97" s="8"/>
      <c r="C97" s="9"/>
      <c r="D97" s="20"/>
      <c r="E97" s="10"/>
      <c r="F97" s="9"/>
      <c r="G97" s="11" t="str">
        <f aca="false">IF(C97="","",IFERROR(INDEX(Catálogo!$B$5:$B$2000,MATCH(C97,Catálogo!$A$5:$A$2000,0)),""))</f>
        <v/>
      </c>
      <c r="H97" s="11" t="str">
        <f aca="false">IF(C97="","",IFERROR(INDEX(Catálogo!$C$5:$C$2000,MATCH(C97,Catálogo!$A$5:$A$2000,0)),""))</f>
        <v/>
      </c>
      <c r="I97" s="11" t="str">
        <f aca="false">IF(D97="","",IF(D97&gt;UmbralAlarma,"Alarmante",IF(D97&gt;=UmbralRegular,"Regular","Bueno")))</f>
        <v/>
      </c>
      <c r="J97" s="11" t="str">
        <f aca="true">IF(COUNTA(A97:F97)=0,"",IF(OR(A97="",B97="",C97="",D97=""),"Faltan datos",IF(G97="","AP no está en el catálogo",IF(A97&gt;TODAY()+1,"Fecha futura",IF(OR(D97&lt;0,D97&lt;&gt;INT(D97)),"Usuarios no válidos",IF(AND(E97&lt;&gt;"",OR(E97&lt;0,E97&gt;1)),"Utilización fuera de 0-100%",IF(COUNTIFS($A$5:$A$604,A97,$B$5:$B$604,B97,$C$5:$C$604,C97)&gt;1,"Fila duplicada","OK")))))))</f>
        <v/>
      </c>
      <c r="K97" s="9"/>
    </row>
    <row r="98" customFormat="false" ht="15" hidden="false" customHeight="false" outlineLevel="0" collapsed="false">
      <c r="A98" s="7"/>
      <c r="B98" s="8"/>
      <c r="C98" s="9"/>
      <c r="D98" s="20"/>
      <c r="E98" s="10"/>
      <c r="F98" s="9"/>
      <c r="G98" s="11" t="str">
        <f aca="false">IF(C98="","",IFERROR(INDEX(Catálogo!$B$5:$B$2000,MATCH(C98,Catálogo!$A$5:$A$2000,0)),""))</f>
        <v/>
      </c>
      <c r="H98" s="11" t="str">
        <f aca="false">IF(C98="","",IFERROR(INDEX(Catálogo!$C$5:$C$2000,MATCH(C98,Catálogo!$A$5:$A$2000,0)),""))</f>
        <v/>
      </c>
      <c r="I98" s="11" t="str">
        <f aca="false">IF(D98="","",IF(D98&gt;UmbralAlarma,"Alarmante",IF(D98&gt;=UmbralRegular,"Regular","Bueno")))</f>
        <v/>
      </c>
      <c r="J98" s="11" t="str">
        <f aca="true">IF(COUNTA(A98:F98)=0,"",IF(OR(A98="",B98="",C98="",D98=""),"Faltan datos",IF(G98="","AP no está en el catálogo",IF(A98&gt;TODAY()+1,"Fecha futura",IF(OR(D98&lt;0,D98&lt;&gt;INT(D98)),"Usuarios no válidos",IF(AND(E98&lt;&gt;"",OR(E98&lt;0,E98&gt;1)),"Utilización fuera de 0-100%",IF(COUNTIFS($A$5:$A$604,A98,$B$5:$B$604,B98,$C$5:$C$604,C98)&gt;1,"Fila duplicada","OK")))))))</f>
        <v/>
      </c>
      <c r="K98" s="9"/>
    </row>
    <row r="99" customFormat="false" ht="15" hidden="false" customHeight="false" outlineLevel="0" collapsed="false">
      <c r="A99" s="7"/>
      <c r="B99" s="8"/>
      <c r="C99" s="9"/>
      <c r="D99" s="20"/>
      <c r="E99" s="10"/>
      <c r="F99" s="9"/>
      <c r="G99" s="11" t="str">
        <f aca="false">IF(C99="","",IFERROR(INDEX(Catálogo!$B$5:$B$2000,MATCH(C99,Catálogo!$A$5:$A$2000,0)),""))</f>
        <v/>
      </c>
      <c r="H99" s="11" t="str">
        <f aca="false">IF(C99="","",IFERROR(INDEX(Catálogo!$C$5:$C$2000,MATCH(C99,Catálogo!$A$5:$A$2000,0)),""))</f>
        <v/>
      </c>
      <c r="I99" s="11" t="str">
        <f aca="false">IF(D99="","",IF(D99&gt;UmbralAlarma,"Alarmante",IF(D99&gt;=UmbralRegular,"Regular","Bueno")))</f>
        <v/>
      </c>
      <c r="J99" s="11" t="str">
        <f aca="true">IF(COUNTA(A99:F99)=0,"",IF(OR(A99="",B99="",C99="",D99=""),"Faltan datos",IF(G99="","AP no está en el catálogo",IF(A99&gt;TODAY()+1,"Fecha futura",IF(OR(D99&lt;0,D99&lt;&gt;INT(D99)),"Usuarios no válidos",IF(AND(E99&lt;&gt;"",OR(E99&lt;0,E99&gt;1)),"Utilización fuera de 0-100%",IF(COUNTIFS($A$5:$A$604,A99,$B$5:$B$604,B99,$C$5:$C$604,C99)&gt;1,"Fila duplicada","OK")))))))</f>
        <v/>
      </c>
      <c r="K99" s="9"/>
    </row>
    <row r="100" customFormat="false" ht="15" hidden="false" customHeight="false" outlineLevel="0" collapsed="false">
      <c r="A100" s="7"/>
      <c r="B100" s="8"/>
      <c r="C100" s="9"/>
      <c r="D100" s="20"/>
      <c r="E100" s="10"/>
      <c r="F100" s="9"/>
      <c r="G100" s="11" t="str">
        <f aca="false">IF(C100="","",IFERROR(INDEX(Catálogo!$B$5:$B$2000,MATCH(C100,Catálogo!$A$5:$A$2000,0)),""))</f>
        <v/>
      </c>
      <c r="H100" s="11" t="str">
        <f aca="false">IF(C100="","",IFERROR(INDEX(Catálogo!$C$5:$C$2000,MATCH(C100,Catálogo!$A$5:$A$2000,0)),""))</f>
        <v/>
      </c>
      <c r="I100" s="11" t="str">
        <f aca="false">IF(D100="","",IF(D100&gt;UmbralAlarma,"Alarmante",IF(D100&gt;=UmbralRegular,"Regular","Bueno")))</f>
        <v/>
      </c>
      <c r="J100" s="11" t="str">
        <f aca="true">IF(COUNTA(A100:F100)=0,"",IF(OR(A100="",B100="",C100="",D100=""),"Faltan datos",IF(G100="","AP no está en el catálogo",IF(A100&gt;TODAY()+1,"Fecha futura",IF(OR(D100&lt;0,D100&lt;&gt;INT(D100)),"Usuarios no válidos",IF(AND(E100&lt;&gt;"",OR(E100&lt;0,E100&gt;1)),"Utilización fuera de 0-100%",IF(COUNTIFS($A$5:$A$604,A100,$B$5:$B$604,B100,$C$5:$C$604,C100)&gt;1,"Fila duplicada","OK")))))))</f>
        <v/>
      </c>
      <c r="K100" s="9"/>
    </row>
    <row r="101" customFormat="false" ht="15" hidden="false" customHeight="false" outlineLevel="0" collapsed="false">
      <c r="A101" s="7"/>
      <c r="B101" s="8"/>
      <c r="C101" s="9"/>
      <c r="D101" s="20"/>
      <c r="E101" s="10"/>
      <c r="F101" s="9"/>
      <c r="G101" s="11" t="str">
        <f aca="false">IF(C101="","",IFERROR(INDEX(Catálogo!$B$5:$B$2000,MATCH(C101,Catálogo!$A$5:$A$2000,0)),""))</f>
        <v/>
      </c>
      <c r="H101" s="11" t="str">
        <f aca="false">IF(C101="","",IFERROR(INDEX(Catálogo!$C$5:$C$2000,MATCH(C101,Catálogo!$A$5:$A$2000,0)),""))</f>
        <v/>
      </c>
      <c r="I101" s="11" t="str">
        <f aca="false">IF(D101="","",IF(D101&gt;UmbralAlarma,"Alarmante",IF(D101&gt;=UmbralRegular,"Regular","Bueno")))</f>
        <v/>
      </c>
      <c r="J101" s="11" t="str">
        <f aca="true">IF(COUNTA(A101:F101)=0,"",IF(OR(A101="",B101="",C101="",D101=""),"Faltan datos",IF(G101="","AP no está en el catálogo",IF(A101&gt;TODAY()+1,"Fecha futura",IF(OR(D101&lt;0,D101&lt;&gt;INT(D101)),"Usuarios no válidos",IF(AND(E101&lt;&gt;"",OR(E101&lt;0,E101&gt;1)),"Utilización fuera de 0-100%",IF(COUNTIFS($A$5:$A$604,A101,$B$5:$B$604,B101,$C$5:$C$604,C101)&gt;1,"Fila duplicada","OK")))))))</f>
        <v/>
      </c>
      <c r="K101" s="9"/>
    </row>
    <row r="102" customFormat="false" ht="15" hidden="false" customHeight="false" outlineLevel="0" collapsed="false">
      <c r="A102" s="7"/>
      <c r="B102" s="8"/>
      <c r="C102" s="9"/>
      <c r="D102" s="20"/>
      <c r="E102" s="10"/>
      <c r="F102" s="9"/>
      <c r="G102" s="11" t="str">
        <f aca="false">IF(C102="","",IFERROR(INDEX(Catálogo!$B$5:$B$2000,MATCH(C102,Catálogo!$A$5:$A$2000,0)),""))</f>
        <v/>
      </c>
      <c r="H102" s="11" t="str">
        <f aca="false">IF(C102="","",IFERROR(INDEX(Catálogo!$C$5:$C$2000,MATCH(C102,Catálogo!$A$5:$A$2000,0)),""))</f>
        <v/>
      </c>
      <c r="I102" s="11" t="str">
        <f aca="false">IF(D102="","",IF(D102&gt;UmbralAlarma,"Alarmante",IF(D102&gt;=UmbralRegular,"Regular","Bueno")))</f>
        <v/>
      </c>
      <c r="J102" s="11" t="str">
        <f aca="true">IF(COUNTA(A102:F102)=0,"",IF(OR(A102="",B102="",C102="",D102=""),"Faltan datos",IF(G102="","AP no está en el catálogo",IF(A102&gt;TODAY()+1,"Fecha futura",IF(OR(D102&lt;0,D102&lt;&gt;INT(D102)),"Usuarios no válidos",IF(AND(E102&lt;&gt;"",OR(E102&lt;0,E102&gt;1)),"Utilización fuera de 0-100%",IF(COUNTIFS($A$5:$A$604,A102,$B$5:$B$604,B102,$C$5:$C$604,C102)&gt;1,"Fila duplicada","OK")))))))</f>
        <v/>
      </c>
      <c r="K102" s="9"/>
    </row>
    <row r="103" customFormat="false" ht="15" hidden="false" customHeight="false" outlineLevel="0" collapsed="false">
      <c r="A103" s="7"/>
      <c r="B103" s="8"/>
      <c r="C103" s="9"/>
      <c r="D103" s="20"/>
      <c r="E103" s="10"/>
      <c r="F103" s="9"/>
      <c r="G103" s="11" t="str">
        <f aca="false">IF(C103="","",IFERROR(INDEX(Catálogo!$B$5:$B$2000,MATCH(C103,Catálogo!$A$5:$A$2000,0)),""))</f>
        <v/>
      </c>
      <c r="H103" s="11" t="str">
        <f aca="false">IF(C103="","",IFERROR(INDEX(Catálogo!$C$5:$C$2000,MATCH(C103,Catálogo!$A$5:$A$2000,0)),""))</f>
        <v/>
      </c>
      <c r="I103" s="11" t="str">
        <f aca="false">IF(D103="","",IF(D103&gt;UmbralAlarma,"Alarmante",IF(D103&gt;=UmbralRegular,"Regular","Bueno")))</f>
        <v/>
      </c>
      <c r="J103" s="11" t="str">
        <f aca="true">IF(COUNTA(A103:F103)=0,"",IF(OR(A103="",B103="",C103="",D103=""),"Faltan datos",IF(G103="","AP no está en el catálogo",IF(A103&gt;TODAY()+1,"Fecha futura",IF(OR(D103&lt;0,D103&lt;&gt;INT(D103)),"Usuarios no válidos",IF(AND(E103&lt;&gt;"",OR(E103&lt;0,E103&gt;1)),"Utilización fuera de 0-100%",IF(COUNTIFS($A$5:$A$604,A103,$B$5:$B$604,B103,$C$5:$C$604,C103)&gt;1,"Fila duplicada","OK")))))))</f>
        <v/>
      </c>
      <c r="K103" s="9"/>
    </row>
    <row r="104" customFormat="false" ht="15" hidden="false" customHeight="false" outlineLevel="0" collapsed="false">
      <c r="A104" s="7"/>
      <c r="B104" s="8"/>
      <c r="C104" s="9"/>
      <c r="D104" s="20"/>
      <c r="E104" s="10"/>
      <c r="F104" s="9"/>
      <c r="G104" s="11" t="str">
        <f aca="false">IF(C104="","",IFERROR(INDEX(Catálogo!$B$5:$B$2000,MATCH(C104,Catálogo!$A$5:$A$2000,0)),""))</f>
        <v/>
      </c>
      <c r="H104" s="11" t="str">
        <f aca="false">IF(C104="","",IFERROR(INDEX(Catálogo!$C$5:$C$2000,MATCH(C104,Catálogo!$A$5:$A$2000,0)),""))</f>
        <v/>
      </c>
      <c r="I104" s="11" t="str">
        <f aca="false">IF(D104="","",IF(D104&gt;UmbralAlarma,"Alarmante",IF(D104&gt;=UmbralRegular,"Regular","Bueno")))</f>
        <v/>
      </c>
      <c r="J104" s="11" t="str">
        <f aca="true">IF(COUNTA(A104:F104)=0,"",IF(OR(A104="",B104="",C104="",D104=""),"Faltan datos",IF(G104="","AP no está en el catálogo",IF(A104&gt;TODAY()+1,"Fecha futura",IF(OR(D104&lt;0,D104&lt;&gt;INT(D104)),"Usuarios no válidos",IF(AND(E104&lt;&gt;"",OR(E104&lt;0,E104&gt;1)),"Utilización fuera de 0-100%",IF(COUNTIFS($A$5:$A$604,A104,$B$5:$B$604,B104,$C$5:$C$604,C104)&gt;1,"Fila duplicada","OK")))))))</f>
        <v/>
      </c>
      <c r="K104" s="9"/>
    </row>
    <row r="105" customFormat="false" ht="15" hidden="false" customHeight="false" outlineLevel="0" collapsed="false">
      <c r="A105" s="7"/>
      <c r="B105" s="8"/>
      <c r="C105" s="9"/>
      <c r="D105" s="20"/>
      <c r="E105" s="10"/>
      <c r="F105" s="9"/>
      <c r="G105" s="11" t="str">
        <f aca="false">IF(C105="","",IFERROR(INDEX(Catálogo!$B$5:$B$2000,MATCH(C105,Catálogo!$A$5:$A$2000,0)),""))</f>
        <v/>
      </c>
      <c r="H105" s="11" t="str">
        <f aca="false">IF(C105="","",IFERROR(INDEX(Catálogo!$C$5:$C$2000,MATCH(C105,Catálogo!$A$5:$A$2000,0)),""))</f>
        <v/>
      </c>
      <c r="I105" s="11" t="str">
        <f aca="false">IF(D105="","",IF(D105&gt;UmbralAlarma,"Alarmante",IF(D105&gt;=UmbralRegular,"Regular","Bueno")))</f>
        <v/>
      </c>
      <c r="J105" s="11" t="str">
        <f aca="true">IF(COUNTA(A105:F105)=0,"",IF(OR(A105="",B105="",C105="",D105=""),"Faltan datos",IF(G105="","AP no está en el catálogo",IF(A105&gt;TODAY()+1,"Fecha futura",IF(OR(D105&lt;0,D105&lt;&gt;INT(D105)),"Usuarios no válidos",IF(AND(E105&lt;&gt;"",OR(E105&lt;0,E105&gt;1)),"Utilización fuera de 0-100%",IF(COUNTIFS($A$5:$A$604,A105,$B$5:$B$604,B105,$C$5:$C$604,C105)&gt;1,"Fila duplicada","OK")))))))</f>
        <v/>
      </c>
      <c r="K105" s="9"/>
    </row>
    <row r="106" customFormat="false" ht="15" hidden="false" customHeight="false" outlineLevel="0" collapsed="false">
      <c r="A106" s="7"/>
      <c r="B106" s="8"/>
      <c r="C106" s="9"/>
      <c r="D106" s="20"/>
      <c r="E106" s="10"/>
      <c r="F106" s="9"/>
      <c r="G106" s="11" t="str">
        <f aca="false">IF(C106="","",IFERROR(INDEX(Catálogo!$B$5:$B$2000,MATCH(C106,Catálogo!$A$5:$A$2000,0)),""))</f>
        <v/>
      </c>
      <c r="H106" s="11" t="str">
        <f aca="false">IF(C106="","",IFERROR(INDEX(Catálogo!$C$5:$C$2000,MATCH(C106,Catálogo!$A$5:$A$2000,0)),""))</f>
        <v/>
      </c>
      <c r="I106" s="11" t="str">
        <f aca="false">IF(D106="","",IF(D106&gt;UmbralAlarma,"Alarmante",IF(D106&gt;=UmbralRegular,"Regular","Bueno")))</f>
        <v/>
      </c>
      <c r="J106" s="11" t="str">
        <f aca="true">IF(COUNTA(A106:F106)=0,"",IF(OR(A106="",B106="",C106="",D106=""),"Faltan datos",IF(G106="","AP no está en el catálogo",IF(A106&gt;TODAY()+1,"Fecha futura",IF(OR(D106&lt;0,D106&lt;&gt;INT(D106)),"Usuarios no válidos",IF(AND(E106&lt;&gt;"",OR(E106&lt;0,E106&gt;1)),"Utilización fuera de 0-100%",IF(COUNTIFS($A$5:$A$604,A106,$B$5:$B$604,B106,$C$5:$C$604,C106)&gt;1,"Fila duplicada","OK")))))))</f>
        <v/>
      </c>
      <c r="K106" s="9"/>
    </row>
    <row r="107" customFormat="false" ht="15" hidden="false" customHeight="false" outlineLevel="0" collapsed="false">
      <c r="A107" s="7"/>
      <c r="B107" s="8"/>
      <c r="C107" s="9"/>
      <c r="D107" s="20"/>
      <c r="E107" s="10"/>
      <c r="F107" s="9"/>
      <c r="G107" s="11" t="str">
        <f aca="false">IF(C107="","",IFERROR(INDEX(Catálogo!$B$5:$B$2000,MATCH(C107,Catálogo!$A$5:$A$2000,0)),""))</f>
        <v/>
      </c>
      <c r="H107" s="11" t="str">
        <f aca="false">IF(C107="","",IFERROR(INDEX(Catálogo!$C$5:$C$2000,MATCH(C107,Catálogo!$A$5:$A$2000,0)),""))</f>
        <v/>
      </c>
      <c r="I107" s="11" t="str">
        <f aca="false">IF(D107="","",IF(D107&gt;UmbralAlarma,"Alarmante",IF(D107&gt;=UmbralRegular,"Regular","Bueno")))</f>
        <v/>
      </c>
      <c r="J107" s="11" t="str">
        <f aca="true">IF(COUNTA(A107:F107)=0,"",IF(OR(A107="",B107="",C107="",D107=""),"Faltan datos",IF(G107="","AP no está en el catálogo",IF(A107&gt;TODAY()+1,"Fecha futura",IF(OR(D107&lt;0,D107&lt;&gt;INT(D107)),"Usuarios no válidos",IF(AND(E107&lt;&gt;"",OR(E107&lt;0,E107&gt;1)),"Utilización fuera de 0-100%",IF(COUNTIFS($A$5:$A$604,A107,$B$5:$B$604,B107,$C$5:$C$604,C107)&gt;1,"Fila duplicada","OK")))))))</f>
        <v/>
      </c>
      <c r="K107" s="9"/>
    </row>
    <row r="108" customFormat="false" ht="15" hidden="false" customHeight="false" outlineLevel="0" collapsed="false">
      <c r="A108" s="7"/>
      <c r="B108" s="8"/>
      <c r="C108" s="9"/>
      <c r="D108" s="20"/>
      <c r="E108" s="10"/>
      <c r="F108" s="9"/>
      <c r="G108" s="11" t="str">
        <f aca="false">IF(C108="","",IFERROR(INDEX(Catálogo!$B$5:$B$2000,MATCH(C108,Catálogo!$A$5:$A$2000,0)),""))</f>
        <v/>
      </c>
      <c r="H108" s="11" t="str">
        <f aca="false">IF(C108="","",IFERROR(INDEX(Catálogo!$C$5:$C$2000,MATCH(C108,Catálogo!$A$5:$A$2000,0)),""))</f>
        <v/>
      </c>
      <c r="I108" s="11" t="str">
        <f aca="false">IF(D108="","",IF(D108&gt;UmbralAlarma,"Alarmante",IF(D108&gt;=UmbralRegular,"Regular","Bueno")))</f>
        <v/>
      </c>
      <c r="J108" s="11" t="str">
        <f aca="true">IF(COUNTA(A108:F108)=0,"",IF(OR(A108="",B108="",C108="",D108=""),"Faltan datos",IF(G108="","AP no está en el catálogo",IF(A108&gt;TODAY()+1,"Fecha futura",IF(OR(D108&lt;0,D108&lt;&gt;INT(D108)),"Usuarios no válidos",IF(AND(E108&lt;&gt;"",OR(E108&lt;0,E108&gt;1)),"Utilización fuera de 0-100%",IF(COUNTIFS($A$5:$A$604,A108,$B$5:$B$604,B108,$C$5:$C$604,C108)&gt;1,"Fila duplicada","OK")))))))</f>
        <v/>
      </c>
      <c r="K108" s="9"/>
    </row>
    <row r="109" customFormat="false" ht="15" hidden="false" customHeight="false" outlineLevel="0" collapsed="false">
      <c r="A109" s="7"/>
      <c r="B109" s="8"/>
      <c r="C109" s="9"/>
      <c r="D109" s="20"/>
      <c r="E109" s="10"/>
      <c r="F109" s="9"/>
      <c r="G109" s="11" t="str">
        <f aca="false">IF(C109="","",IFERROR(INDEX(Catálogo!$B$5:$B$2000,MATCH(C109,Catálogo!$A$5:$A$2000,0)),""))</f>
        <v/>
      </c>
      <c r="H109" s="11" t="str">
        <f aca="false">IF(C109="","",IFERROR(INDEX(Catálogo!$C$5:$C$2000,MATCH(C109,Catálogo!$A$5:$A$2000,0)),""))</f>
        <v/>
      </c>
      <c r="I109" s="11" t="str">
        <f aca="false">IF(D109="","",IF(D109&gt;UmbralAlarma,"Alarmante",IF(D109&gt;=UmbralRegular,"Regular","Bueno")))</f>
        <v/>
      </c>
      <c r="J109" s="11" t="str">
        <f aca="true">IF(COUNTA(A109:F109)=0,"",IF(OR(A109="",B109="",C109="",D109=""),"Faltan datos",IF(G109="","AP no está en el catálogo",IF(A109&gt;TODAY()+1,"Fecha futura",IF(OR(D109&lt;0,D109&lt;&gt;INT(D109)),"Usuarios no válidos",IF(AND(E109&lt;&gt;"",OR(E109&lt;0,E109&gt;1)),"Utilización fuera de 0-100%",IF(COUNTIFS($A$5:$A$604,A109,$B$5:$B$604,B109,$C$5:$C$604,C109)&gt;1,"Fila duplicada","OK")))))))</f>
        <v/>
      </c>
      <c r="K109" s="9"/>
    </row>
    <row r="110" customFormat="false" ht="15" hidden="false" customHeight="false" outlineLevel="0" collapsed="false">
      <c r="A110" s="7"/>
      <c r="B110" s="8"/>
      <c r="C110" s="9"/>
      <c r="D110" s="20"/>
      <c r="E110" s="10"/>
      <c r="F110" s="9"/>
      <c r="G110" s="11" t="str">
        <f aca="false">IF(C110="","",IFERROR(INDEX(Catálogo!$B$5:$B$2000,MATCH(C110,Catálogo!$A$5:$A$2000,0)),""))</f>
        <v/>
      </c>
      <c r="H110" s="11" t="str">
        <f aca="false">IF(C110="","",IFERROR(INDEX(Catálogo!$C$5:$C$2000,MATCH(C110,Catálogo!$A$5:$A$2000,0)),""))</f>
        <v/>
      </c>
      <c r="I110" s="11" t="str">
        <f aca="false">IF(D110="","",IF(D110&gt;UmbralAlarma,"Alarmante",IF(D110&gt;=UmbralRegular,"Regular","Bueno")))</f>
        <v/>
      </c>
      <c r="J110" s="11" t="str">
        <f aca="true">IF(COUNTA(A110:F110)=0,"",IF(OR(A110="",B110="",C110="",D110=""),"Faltan datos",IF(G110="","AP no está en el catálogo",IF(A110&gt;TODAY()+1,"Fecha futura",IF(OR(D110&lt;0,D110&lt;&gt;INT(D110)),"Usuarios no válidos",IF(AND(E110&lt;&gt;"",OR(E110&lt;0,E110&gt;1)),"Utilización fuera de 0-100%",IF(COUNTIFS($A$5:$A$604,A110,$B$5:$B$604,B110,$C$5:$C$604,C110)&gt;1,"Fila duplicada","OK")))))))</f>
        <v/>
      </c>
      <c r="K110" s="9"/>
    </row>
    <row r="111" customFormat="false" ht="15" hidden="false" customHeight="false" outlineLevel="0" collapsed="false">
      <c r="A111" s="7"/>
      <c r="B111" s="8"/>
      <c r="C111" s="9"/>
      <c r="D111" s="20"/>
      <c r="E111" s="10"/>
      <c r="F111" s="9"/>
      <c r="G111" s="11" t="str">
        <f aca="false">IF(C111="","",IFERROR(INDEX(Catálogo!$B$5:$B$2000,MATCH(C111,Catálogo!$A$5:$A$2000,0)),""))</f>
        <v/>
      </c>
      <c r="H111" s="11" t="str">
        <f aca="false">IF(C111="","",IFERROR(INDEX(Catálogo!$C$5:$C$2000,MATCH(C111,Catálogo!$A$5:$A$2000,0)),""))</f>
        <v/>
      </c>
      <c r="I111" s="11" t="str">
        <f aca="false">IF(D111="","",IF(D111&gt;UmbralAlarma,"Alarmante",IF(D111&gt;=UmbralRegular,"Regular","Bueno")))</f>
        <v/>
      </c>
      <c r="J111" s="11" t="str">
        <f aca="true">IF(COUNTA(A111:F111)=0,"",IF(OR(A111="",B111="",C111="",D111=""),"Faltan datos",IF(G111="","AP no está en el catálogo",IF(A111&gt;TODAY()+1,"Fecha futura",IF(OR(D111&lt;0,D111&lt;&gt;INT(D111)),"Usuarios no válidos",IF(AND(E111&lt;&gt;"",OR(E111&lt;0,E111&gt;1)),"Utilización fuera de 0-100%",IF(COUNTIFS($A$5:$A$604,A111,$B$5:$B$604,B111,$C$5:$C$604,C111)&gt;1,"Fila duplicada","OK")))))))</f>
        <v/>
      </c>
      <c r="K111" s="9"/>
    </row>
    <row r="112" customFormat="false" ht="15" hidden="false" customHeight="false" outlineLevel="0" collapsed="false">
      <c r="A112" s="7"/>
      <c r="B112" s="8"/>
      <c r="C112" s="9"/>
      <c r="D112" s="20"/>
      <c r="E112" s="10"/>
      <c r="F112" s="9"/>
      <c r="G112" s="11" t="str">
        <f aca="false">IF(C112="","",IFERROR(INDEX(Catálogo!$B$5:$B$2000,MATCH(C112,Catálogo!$A$5:$A$2000,0)),""))</f>
        <v/>
      </c>
      <c r="H112" s="11" t="str">
        <f aca="false">IF(C112="","",IFERROR(INDEX(Catálogo!$C$5:$C$2000,MATCH(C112,Catálogo!$A$5:$A$2000,0)),""))</f>
        <v/>
      </c>
      <c r="I112" s="11" t="str">
        <f aca="false">IF(D112="","",IF(D112&gt;UmbralAlarma,"Alarmante",IF(D112&gt;=UmbralRegular,"Regular","Bueno")))</f>
        <v/>
      </c>
      <c r="J112" s="11" t="str">
        <f aca="true">IF(COUNTA(A112:F112)=0,"",IF(OR(A112="",B112="",C112="",D112=""),"Faltan datos",IF(G112="","AP no está en el catálogo",IF(A112&gt;TODAY()+1,"Fecha futura",IF(OR(D112&lt;0,D112&lt;&gt;INT(D112)),"Usuarios no válidos",IF(AND(E112&lt;&gt;"",OR(E112&lt;0,E112&gt;1)),"Utilización fuera de 0-100%",IF(COUNTIFS($A$5:$A$604,A112,$B$5:$B$604,B112,$C$5:$C$604,C112)&gt;1,"Fila duplicada","OK")))))))</f>
        <v/>
      </c>
      <c r="K112" s="9"/>
    </row>
    <row r="113" customFormat="false" ht="15" hidden="false" customHeight="false" outlineLevel="0" collapsed="false">
      <c r="A113" s="7"/>
      <c r="B113" s="8"/>
      <c r="C113" s="9"/>
      <c r="D113" s="20"/>
      <c r="E113" s="10"/>
      <c r="F113" s="9"/>
      <c r="G113" s="11" t="str">
        <f aca="false">IF(C113="","",IFERROR(INDEX(Catálogo!$B$5:$B$2000,MATCH(C113,Catálogo!$A$5:$A$2000,0)),""))</f>
        <v/>
      </c>
      <c r="H113" s="11" t="str">
        <f aca="false">IF(C113="","",IFERROR(INDEX(Catálogo!$C$5:$C$2000,MATCH(C113,Catálogo!$A$5:$A$2000,0)),""))</f>
        <v/>
      </c>
      <c r="I113" s="11" t="str">
        <f aca="false">IF(D113="","",IF(D113&gt;UmbralAlarma,"Alarmante",IF(D113&gt;=UmbralRegular,"Regular","Bueno")))</f>
        <v/>
      </c>
      <c r="J113" s="11" t="str">
        <f aca="true">IF(COUNTA(A113:F113)=0,"",IF(OR(A113="",B113="",C113="",D113=""),"Faltan datos",IF(G113="","AP no está en el catálogo",IF(A113&gt;TODAY()+1,"Fecha futura",IF(OR(D113&lt;0,D113&lt;&gt;INT(D113)),"Usuarios no válidos",IF(AND(E113&lt;&gt;"",OR(E113&lt;0,E113&gt;1)),"Utilización fuera de 0-100%",IF(COUNTIFS($A$5:$A$604,A113,$B$5:$B$604,B113,$C$5:$C$604,C113)&gt;1,"Fila duplicada","OK")))))))</f>
        <v/>
      </c>
      <c r="K113" s="9"/>
    </row>
    <row r="114" customFormat="false" ht="15" hidden="false" customHeight="false" outlineLevel="0" collapsed="false">
      <c r="A114" s="7"/>
      <c r="B114" s="8"/>
      <c r="C114" s="9"/>
      <c r="D114" s="20"/>
      <c r="E114" s="10"/>
      <c r="F114" s="9"/>
      <c r="G114" s="11" t="str">
        <f aca="false">IF(C114="","",IFERROR(INDEX(Catálogo!$B$5:$B$2000,MATCH(C114,Catálogo!$A$5:$A$2000,0)),""))</f>
        <v/>
      </c>
      <c r="H114" s="11" t="str">
        <f aca="false">IF(C114="","",IFERROR(INDEX(Catálogo!$C$5:$C$2000,MATCH(C114,Catálogo!$A$5:$A$2000,0)),""))</f>
        <v/>
      </c>
      <c r="I114" s="11" t="str">
        <f aca="false">IF(D114="","",IF(D114&gt;UmbralAlarma,"Alarmante",IF(D114&gt;=UmbralRegular,"Regular","Bueno")))</f>
        <v/>
      </c>
      <c r="J114" s="11" t="str">
        <f aca="true">IF(COUNTA(A114:F114)=0,"",IF(OR(A114="",B114="",C114="",D114=""),"Faltan datos",IF(G114="","AP no está en el catálogo",IF(A114&gt;TODAY()+1,"Fecha futura",IF(OR(D114&lt;0,D114&lt;&gt;INT(D114)),"Usuarios no válidos",IF(AND(E114&lt;&gt;"",OR(E114&lt;0,E114&gt;1)),"Utilización fuera de 0-100%",IF(COUNTIFS($A$5:$A$604,A114,$B$5:$B$604,B114,$C$5:$C$604,C114)&gt;1,"Fila duplicada","OK")))))))</f>
        <v/>
      </c>
      <c r="K114" s="9"/>
    </row>
    <row r="115" customFormat="false" ht="15" hidden="false" customHeight="false" outlineLevel="0" collapsed="false">
      <c r="A115" s="7"/>
      <c r="B115" s="8"/>
      <c r="C115" s="9"/>
      <c r="D115" s="20"/>
      <c r="E115" s="10"/>
      <c r="F115" s="9"/>
      <c r="G115" s="11" t="str">
        <f aca="false">IF(C115="","",IFERROR(INDEX(Catálogo!$B$5:$B$2000,MATCH(C115,Catálogo!$A$5:$A$2000,0)),""))</f>
        <v/>
      </c>
      <c r="H115" s="11" t="str">
        <f aca="false">IF(C115="","",IFERROR(INDEX(Catálogo!$C$5:$C$2000,MATCH(C115,Catálogo!$A$5:$A$2000,0)),""))</f>
        <v/>
      </c>
      <c r="I115" s="11" t="str">
        <f aca="false">IF(D115="","",IF(D115&gt;UmbralAlarma,"Alarmante",IF(D115&gt;=UmbralRegular,"Regular","Bueno")))</f>
        <v/>
      </c>
      <c r="J115" s="11" t="str">
        <f aca="true">IF(COUNTA(A115:F115)=0,"",IF(OR(A115="",B115="",C115="",D115=""),"Faltan datos",IF(G115="","AP no está en el catálogo",IF(A115&gt;TODAY()+1,"Fecha futura",IF(OR(D115&lt;0,D115&lt;&gt;INT(D115)),"Usuarios no válidos",IF(AND(E115&lt;&gt;"",OR(E115&lt;0,E115&gt;1)),"Utilización fuera de 0-100%",IF(COUNTIFS($A$5:$A$604,A115,$B$5:$B$604,B115,$C$5:$C$604,C115)&gt;1,"Fila duplicada","OK")))))))</f>
        <v/>
      </c>
      <c r="K115" s="9"/>
    </row>
    <row r="116" customFormat="false" ht="15" hidden="false" customHeight="false" outlineLevel="0" collapsed="false">
      <c r="A116" s="7"/>
      <c r="B116" s="8"/>
      <c r="C116" s="9"/>
      <c r="D116" s="20"/>
      <c r="E116" s="10"/>
      <c r="F116" s="9"/>
      <c r="G116" s="11" t="str">
        <f aca="false">IF(C116="","",IFERROR(INDEX(Catálogo!$B$5:$B$2000,MATCH(C116,Catálogo!$A$5:$A$2000,0)),""))</f>
        <v/>
      </c>
      <c r="H116" s="11" t="str">
        <f aca="false">IF(C116="","",IFERROR(INDEX(Catálogo!$C$5:$C$2000,MATCH(C116,Catálogo!$A$5:$A$2000,0)),""))</f>
        <v/>
      </c>
      <c r="I116" s="11" t="str">
        <f aca="false">IF(D116="","",IF(D116&gt;UmbralAlarma,"Alarmante",IF(D116&gt;=UmbralRegular,"Regular","Bueno")))</f>
        <v/>
      </c>
      <c r="J116" s="11" t="str">
        <f aca="true">IF(COUNTA(A116:F116)=0,"",IF(OR(A116="",B116="",C116="",D116=""),"Faltan datos",IF(G116="","AP no está en el catálogo",IF(A116&gt;TODAY()+1,"Fecha futura",IF(OR(D116&lt;0,D116&lt;&gt;INT(D116)),"Usuarios no válidos",IF(AND(E116&lt;&gt;"",OR(E116&lt;0,E116&gt;1)),"Utilización fuera de 0-100%",IF(COUNTIFS($A$5:$A$604,A116,$B$5:$B$604,B116,$C$5:$C$604,C116)&gt;1,"Fila duplicada","OK")))))))</f>
        <v/>
      </c>
      <c r="K116" s="9"/>
    </row>
    <row r="117" customFormat="false" ht="15" hidden="false" customHeight="false" outlineLevel="0" collapsed="false">
      <c r="A117" s="7"/>
      <c r="B117" s="8"/>
      <c r="C117" s="9"/>
      <c r="D117" s="20"/>
      <c r="E117" s="10"/>
      <c r="F117" s="9"/>
      <c r="G117" s="11" t="str">
        <f aca="false">IF(C117="","",IFERROR(INDEX(Catálogo!$B$5:$B$2000,MATCH(C117,Catálogo!$A$5:$A$2000,0)),""))</f>
        <v/>
      </c>
      <c r="H117" s="11" t="str">
        <f aca="false">IF(C117="","",IFERROR(INDEX(Catálogo!$C$5:$C$2000,MATCH(C117,Catálogo!$A$5:$A$2000,0)),""))</f>
        <v/>
      </c>
      <c r="I117" s="11" t="str">
        <f aca="false">IF(D117="","",IF(D117&gt;UmbralAlarma,"Alarmante",IF(D117&gt;=UmbralRegular,"Regular","Bueno")))</f>
        <v/>
      </c>
      <c r="J117" s="11" t="str">
        <f aca="true">IF(COUNTA(A117:F117)=0,"",IF(OR(A117="",B117="",C117="",D117=""),"Faltan datos",IF(G117="","AP no está en el catálogo",IF(A117&gt;TODAY()+1,"Fecha futura",IF(OR(D117&lt;0,D117&lt;&gt;INT(D117)),"Usuarios no válidos",IF(AND(E117&lt;&gt;"",OR(E117&lt;0,E117&gt;1)),"Utilización fuera de 0-100%",IF(COUNTIFS($A$5:$A$604,A117,$B$5:$B$604,B117,$C$5:$C$604,C117)&gt;1,"Fila duplicada","OK")))))))</f>
        <v/>
      </c>
      <c r="K117" s="9"/>
    </row>
    <row r="118" customFormat="false" ht="15" hidden="false" customHeight="false" outlineLevel="0" collapsed="false">
      <c r="A118" s="7"/>
      <c r="B118" s="8"/>
      <c r="C118" s="9"/>
      <c r="D118" s="20"/>
      <c r="E118" s="10"/>
      <c r="F118" s="9"/>
      <c r="G118" s="11" t="str">
        <f aca="false">IF(C118="","",IFERROR(INDEX(Catálogo!$B$5:$B$2000,MATCH(C118,Catálogo!$A$5:$A$2000,0)),""))</f>
        <v/>
      </c>
      <c r="H118" s="11" t="str">
        <f aca="false">IF(C118="","",IFERROR(INDEX(Catálogo!$C$5:$C$2000,MATCH(C118,Catálogo!$A$5:$A$2000,0)),""))</f>
        <v/>
      </c>
      <c r="I118" s="11" t="str">
        <f aca="false">IF(D118="","",IF(D118&gt;UmbralAlarma,"Alarmante",IF(D118&gt;=UmbralRegular,"Regular","Bueno")))</f>
        <v/>
      </c>
      <c r="J118" s="11" t="str">
        <f aca="true">IF(COUNTA(A118:F118)=0,"",IF(OR(A118="",B118="",C118="",D118=""),"Faltan datos",IF(G118="","AP no está en el catálogo",IF(A118&gt;TODAY()+1,"Fecha futura",IF(OR(D118&lt;0,D118&lt;&gt;INT(D118)),"Usuarios no válidos",IF(AND(E118&lt;&gt;"",OR(E118&lt;0,E118&gt;1)),"Utilización fuera de 0-100%",IF(COUNTIFS($A$5:$A$604,A118,$B$5:$B$604,B118,$C$5:$C$604,C118)&gt;1,"Fila duplicada","OK")))))))</f>
        <v/>
      </c>
      <c r="K118" s="9"/>
    </row>
    <row r="119" customFormat="false" ht="15" hidden="false" customHeight="false" outlineLevel="0" collapsed="false">
      <c r="A119" s="7"/>
      <c r="B119" s="8"/>
      <c r="C119" s="9"/>
      <c r="D119" s="20"/>
      <c r="E119" s="10"/>
      <c r="F119" s="9"/>
      <c r="G119" s="11" t="str">
        <f aca="false">IF(C119="","",IFERROR(INDEX(Catálogo!$B$5:$B$2000,MATCH(C119,Catálogo!$A$5:$A$2000,0)),""))</f>
        <v/>
      </c>
      <c r="H119" s="11" t="str">
        <f aca="false">IF(C119="","",IFERROR(INDEX(Catálogo!$C$5:$C$2000,MATCH(C119,Catálogo!$A$5:$A$2000,0)),""))</f>
        <v/>
      </c>
      <c r="I119" s="11" t="str">
        <f aca="false">IF(D119="","",IF(D119&gt;UmbralAlarma,"Alarmante",IF(D119&gt;=UmbralRegular,"Regular","Bueno")))</f>
        <v/>
      </c>
      <c r="J119" s="11" t="str">
        <f aca="true">IF(COUNTA(A119:F119)=0,"",IF(OR(A119="",B119="",C119="",D119=""),"Faltan datos",IF(G119="","AP no está en el catálogo",IF(A119&gt;TODAY()+1,"Fecha futura",IF(OR(D119&lt;0,D119&lt;&gt;INT(D119)),"Usuarios no válidos",IF(AND(E119&lt;&gt;"",OR(E119&lt;0,E119&gt;1)),"Utilización fuera de 0-100%",IF(COUNTIFS($A$5:$A$604,A119,$B$5:$B$604,B119,$C$5:$C$604,C119)&gt;1,"Fila duplicada","OK")))))))</f>
        <v/>
      </c>
      <c r="K119" s="9"/>
    </row>
    <row r="120" customFormat="false" ht="15" hidden="false" customHeight="false" outlineLevel="0" collapsed="false">
      <c r="A120" s="7"/>
      <c r="B120" s="8"/>
      <c r="C120" s="9"/>
      <c r="D120" s="20"/>
      <c r="E120" s="10"/>
      <c r="F120" s="9"/>
      <c r="G120" s="11" t="str">
        <f aca="false">IF(C120="","",IFERROR(INDEX(Catálogo!$B$5:$B$2000,MATCH(C120,Catálogo!$A$5:$A$2000,0)),""))</f>
        <v/>
      </c>
      <c r="H120" s="11" t="str">
        <f aca="false">IF(C120="","",IFERROR(INDEX(Catálogo!$C$5:$C$2000,MATCH(C120,Catálogo!$A$5:$A$2000,0)),""))</f>
        <v/>
      </c>
      <c r="I120" s="11" t="str">
        <f aca="false">IF(D120="","",IF(D120&gt;UmbralAlarma,"Alarmante",IF(D120&gt;=UmbralRegular,"Regular","Bueno")))</f>
        <v/>
      </c>
      <c r="J120" s="11" t="str">
        <f aca="true">IF(COUNTA(A120:F120)=0,"",IF(OR(A120="",B120="",C120="",D120=""),"Faltan datos",IF(G120="","AP no está en el catálogo",IF(A120&gt;TODAY()+1,"Fecha futura",IF(OR(D120&lt;0,D120&lt;&gt;INT(D120)),"Usuarios no válidos",IF(AND(E120&lt;&gt;"",OR(E120&lt;0,E120&gt;1)),"Utilización fuera de 0-100%",IF(COUNTIFS($A$5:$A$604,A120,$B$5:$B$604,B120,$C$5:$C$604,C120)&gt;1,"Fila duplicada","OK")))))))</f>
        <v/>
      </c>
      <c r="K120" s="9"/>
    </row>
    <row r="121" customFormat="false" ht="15" hidden="false" customHeight="false" outlineLevel="0" collapsed="false">
      <c r="A121" s="7"/>
      <c r="B121" s="8"/>
      <c r="C121" s="9"/>
      <c r="D121" s="20"/>
      <c r="E121" s="10"/>
      <c r="F121" s="9"/>
      <c r="G121" s="11" t="str">
        <f aca="false">IF(C121="","",IFERROR(INDEX(Catálogo!$B$5:$B$2000,MATCH(C121,Catálogo!$A$5:$A$2000,0)),""))</f>
        <v/>
      </c>
      <c r="H121" s="11" t="str">
        <f aca="false">IF(C121="","",IFERROR(INDEX(Catálogo!$C$5:$C$2000,MATCH(C121,Catálogo!$A$5:$A$2000,0)),""))</f>
        <v/>
      </c>
      <c r="I121" s="11" t="str">
        <f aca="false">IF(D121="","",IF(D121&gt;UmbralAlarma,"Alarmante",IF(D121&gt;=UmbralRegular,"Regular","Bueno")))</f>
        <v/>
      </c>
      <c r="J121" s="11" t="str">
        <f aca="true">IF(COUNTA(A121:F121)=0,"",IF(OR(A121="",B121="",C121="",D121=""),"Faltan datos",IF(G121="","AP no está en el catálogo",IF(A121&gt;TODAY()+1,"Fecha futura",IF(OR(D121&lt;0,D121&lt;&gt;INT(D121)),"Usuarios no válidos",IF(AND(E121&lt;&gt;"",OR(E121&lt;0,E121&gt;1)),"Utilización fuera de 0-100%",IF(COUNTIFS($A$5:$A$604,A121,$B$5:$B$604,B121,$C$5:$C$604,C121)&gt;1,"Fila duplicada","OK")))))))</f>
        <v/>
      </c>
      <c r="K121" s="9"/>
    </row>
    <row r="122" customFormat="false" ht="15" hidden="false" customHeight="false" outlineLevel="0" collapsed="false">
      <c r="A122" s="7"/>
      <c r="B122" s="8"/>
      <c r="C122" s="9"/>
      <c r="D122" s="20"/>
      <c r="E122" s="10"/>
      <c r="F122" s="9"/>
      <c r="G122" s="11" t="str">
        <f aca="false">IF(C122="","",IFERROR(INDEX(Catálogo!$B$5:$B$2000,MATCH(C122,Catálogo!$A$5:$A$2000,0)),""))</f>
        <v/>
      </c>
      <c r="H122" s="11" t="str">
        <f aca="false">IF(C122="","",IFERROR(INDEX(Catálogo!$C$5:$C$2000,MATCH(C122,Catálogo!$A$5:$A$2000,0)),""))</f>
        <v/>
      </c>
      <c r="I122" s="11" t="str">
        <f aca="false">IF(D122="","",IF(D122&gt;UmbralAlarma,"Alarmante",IF(D122&gt;=UmbralRegular,"Regular","Bueno")))</f>
        <v/>
      </c>
      <c r="J122" s="11" t="str">
        <f aca="true">IF(COUNTA(A122:F122)=0,"",IF(OR(A122="",B122="",C122="",D122=""),"Faltan datos",IF(G122="","AP no está en el catálogo",IF(A122&gt;TODAY()+1,"Fecha futura",IF(OR(D122&lt;0,D122&lt;&gt;INT(D122)),"Usuarios no válidos",IF(AND(E122&lt;&gt;"",OR(E122&lt;0,E122&gt;1)),"Utilización fuera de 0-100%",IF(COUNTIFS($A$5:$A$604,A122,$B$5:$B$604,B122,$C$5:$C$604,C122)&gt;1,"Fila duplicada","OK")))))))</f>
        <v/>
      </c>
      <c r="K122" s="9"/>
    </row>
    <row r="123" customFormat="false" ht="15" hidden="false" customHeight="false" outlineLevel="0" collapsed="false">
      <c r="A123" s="7"/>
      <c r="B123" s="8"/>
      <c r="C123" s="9"/>
      <c r="D123" s="20"/>
      <c r="E123" s="10"/>
      <c r="F123" s="9"/>
      <c r="G123" s="11" t="str">
        <f aca="false">IF(C123="","",IFERROR(INDEX(Catálogo!$B$5:$B$2000,MATCH(C123,Catálogo!$A$5:$A$2000,0)),""))</f>
        <v/>
      </c>
      <c r="H123" s="11" t="str">
        <f aca="false">IF(C123="","",IFERROR(INDEX(Catálogo!$C$5:$C$2000,MATCH(C123,Catálogo!$A$5:$A$2000,0)),""))</f>
        <v/>
      </c>
      <c r="I123" s="11" t="str">
        <f aca="false">IF(D123="","",IF(D123&gt;UmbralAlarma,"Alarmante",IF(D123&gt;=UmbralRegular,"Regular","Bueno")))</f>
        <v/>
      </c>
      <c r="J123" s="11" t="str">
        <f aca="true">IF(COUNTA(A123:F123)=0,"",IF(OR(A123="",B123="",C123="",D123=""),"Faltan datos",IF(G123="","AP no está en el catálogo",IF(A123&gt;TODAY()+1,"Fecha futura",IF(OR(D123&lt;0,D123&lt;&gt;INT(D123)),"Usuarios no válidos",IF(AND(E123&lt;&gt;"",OR(E123&lt;0,E123&gt;1)),"Utilización fuera de 0-100%",IF(COUNTIFS($A$5:$A$604,A123,$B$5:$B$604,B123,$C$5:$C$604,C123)&gt;1,"Fila duplicada","OK")))))))</f>
        <v/>
      </c>
      <c r="K123" s="9"/>
    </row>
    <row r="124" customFormat="false" ht="15" hidden="false" customHeight="false" outlineLevel="0" collapsed="false">
      <c r="A124" s="7"/>
      <c r="B124" s="8"/>
      <c r="C124" s="9"/>
      <c r="D124" s="20"/>
      <c r="E124" s="10"/>
      <c r="F124" s="9"/>
      <c r="G124" s="11" t="str">
        <f aca="false">IF(C124="","",IFERROR(INDEX(Catálogo!$B$5:$B$2000,MATCH(C124,Catálogo!$A$5:$A$2000,0)),""))</f>
        <v/>
      </c>
      <c r="H124" s="11" t="str">
        <f aca="false">IF(C124="","",IFERROR(INDEX(Catálogo!$C$5:$C$2000,MATCH(C124,Catálogo!$A$5:$A$2000,0)),""))</f>
        <v/>
      </c>
      <c r="I124" s="11" t="str">
        <f aca="false">IF(D124="","",IF(D124&gt;UmbralAlarma,"Alarmante",IF(D124&gt;=UmbralRegular,"Regular","Bueno")))</f>
        <v/>
      </c>
      <c r="J124" s="11" t="str">
        <f aca="true">IF(COUNTA(A124:F124)=0,"",IF(OR(A124="",B124="",C124="",D124=""),"Faltan datos",IF(G124="","AP no está en el catálogo",IF(A124&gt;TODAY()+1,"Fecha futura",IF(OR(D124&lt;0,D124&lt;&gt;INT(D124)),"Usuarios no válidos",IF(AND(E124&lt;&gt;"",OR(E124&lt;0,E124&gt;1)),"Utilización fuera de 0-100%",IF(COUNTIFS($A$5:$A$604,A124,$B$5:$B$604,B124,$C$5:$C$604,C124)&gt;1,"Fila duplicada","OK")))))))</f>
        <v/>
      </c>
      <c r="K124" s="9"/>
    </row>
    <row r="125" customFormat="false" ht="15" hidden="false" customHeight="false" outlineLevel="0" collapsed="false">
      <c r="A125" s="7"/>
      <c r="B125" s="8"/>
      <c r="C125" s="9"/>
      <c r="D125" s="20"/>
      <c r="E125" s="10"/>
      <c r="F125" s="9"/>
      <c r="G125" s="11" t="str">
        <f aca="false">IF(C125="","",IFERROR(INDEX(Catálogo!$B$5:$B$2000,MATCH(C125,Catálogo!$A$5:$A$2000,0)),""))</f>
        <v/>
      </c>
      <c r="H125" s="11" t="str">
        <f aca="false">IF(C125="","",IFERROR(INDEX(Catálogo!$C$5:$C$2000,MATCH(C125,Catálogo!$A$5:$A$2000,0)),""))</f>
        <v/>
      </c>
      <c r="I125" s="11" t="str">
        <f aca="false">IF(D125="","",IF(D125&gt;UmbralAlarma,"Alarmante",IF(D125&gt;=UmbralRegular,"Regular","Bueno")))</f>
        <v/>
      </c>
      <c r="J125" s="11" t="str">
        <f aca="true">IF(COUNTA(A125:F125)=0,"",IF(OR(A125="",B125="",C125="",D125=""),"Faltan datos",IF(G125="","AP no está en el catálogo",IF(A125&gt;TODAY()+1,"Fecha futura",IF(OR(D125&lt;0,D125&lt;&gt;INT(D125)),"Usuarios no válidos",IF(AND(E125&lt;&gt;"",OR(E125&lt;0,E125&gt;1)),"Utilización fuera de 0-100%",IF(COUNTIFS($A$5:$A$604,A125,$B$5:$B$604,B125,$C$5:$C$604,C125)&gt;1,"Fila duplicada","OK")))))))</f>
        <v/>
      </c>
      <c r="K125" s="9"/>
    </row>
    <row r="126" customFormat="false" ht="15" hidden="false" customHeight="false" outlineLevel="0" collapsed="false">
      <c r="A126" s="7"/>
      <c r="B126" s="8"/>
      <c r="C126" s="9"/>
      <c r="D126" s="20"/>
      <c r="E126" s="10"/>
      <c r="F126" s="9"/>
      <c r="G126" s="11" t="str">
        <f aca="false">IF(C126="","",IFERROR(INDEX(Catálogo!$B$5:$B$2000,MATCH(C126,Catálogo!$A$5:$A$2000,0)),""))</f>
        <v/>
      </c>
      <c r="H126" s="11" t="str">
        <f aca="false">IF(C126="","",IFERROR(INDEX(Catálogo!$C$5:$C$2000,MATCH(C126,Catálogo!$A$5:$A$2000,0)),""))</f>
        <v/>
      </c>
      <c r="I126" s="11" t="str">
        <f aca="false">IF(D126="","",IF(D126&gt;UmbralAlarma,"Alarmante",IF(D126&gt;=UmbralRegular,"Regular","Bueno")))</f>
        <v/>
      </c>
      <c r="J126" s="11" t="str">
        <f aca="true">IF(COUNTA(A126:F126)=0,"",IF(OR(A126="",B126="",C126="",D126=""),"Faltan datos",IF(G126="","AP no está en el catálogo",IF(A126&gt;TODAY()+1,"Fecha futura",IF(OR(D126&lt;0,D126&lt;&gt;INT(D126)),"Usuarios no válidos",IF(AND(E126&lt;&gt;"",OR(E126&lt;0,E126&gt;1)),"Utilización fuera de 0-100%",IF(COUNTIFS($A$5:$A$604,A126,$B$5:$B$604,B126,$C$5:$C$604,C126)&gt;1,"Fila duplicada","OK")))))))</f>
        <v/>
      </c>
      <c r="K126" s="9"/>
    </row>
    <row r="127" customFormat="false" ht="15" hidden="false" customHeight="false" outlineLevel="0" collapsed="false">
      <c r="A127" s="7"/>
      <c r="B127" s="8"/>
      <c r="C127" s="9"/>
      <c r="D127" s="20"/>
      <c r="E127" s="10"/>
      <c r="F127" s="9"/>
      <c r="G127" s="11" t="str">
        <f aca="false">IF(C127="","",IFERROR(INDEX(Catálogo!$B$5:$B$2000,MATCH(C127,Catálogo!$A$5:$A$2000,0)),""))</f>
        <v/>
      </c>
      <c r="H127" s="11" t="str">
        <f aca="false">IF(C127="","",IFERROR(INDEX(Catálogo!$C$5:$C$2000,MATCH(C127,Catálogo!$A$5:$A$2000,0)),""))</f>
        <v/>
      </c>
      <c r="I127" s="11" t="str">
        <f aca="false">IF(D127="","",IF(D127&gt;UmbralAlarma,"Alarmante",IF(D127&gt;=UmbralRegular,"Regular","Bueno")))</f>
        <v/>
      </c>
      <c r="J127" s="11" t="str">
        <f aca="true">IF(COUNTA(A127:F127)=0,"",IF(OR(A127="",B127="",C127="",D127=""),"Faltan datos",IF(G127="","AP no está en el catálogo",IF(A127&gt;TODAY()+1,"Fecha futura",IF(OR(D127&lt;0,D127&lt;&gt;INT(D127)),"Usuarios no válidos",IF(AND(E127&lt;&gt;"",OR(E127&lt;0,E127&gt;1)),"Utilización fuera de 0-100%",IF(COUNTIFS($A$5:$A$604,A127,$B$5:$B$604,B127,$C$5:$C$604,C127)&gt;1,"Fila duplicada","OK")))))))</f>
        <v/>
      </c>
      <c r="K127" s="9"/>
    </row>
    <row r="128" customFormat="false" ht="15" hidden="false" customHeight="false" outlineLevel="0" collapsed="false">
      <c r="A128" s="7"/>
      <c r="B128" s="8"/>
      <c r="C128" s="9"/>
      <c r="D128" s="20"/>
      <c r="E128" s="10"/>
      <c r="F128" s="9"/>
      <c r="G128" s="11" t="str">
        <f aca="false">IF(C128="","",IFERROR(INDEX(Catálogo!$B$5:$B$2000,MATCH(C128,Catálogo!$A$5:$A$2000,0)),""))</f>
        <v/>
      </c>
      <c r="H128" s="11" t="str">
        <f aca="false">IF(C128="","",IFERROR(INDEX(Catálogo!$C$5:$C$2000,MATCH(C128,Catálogo!$A$5:$A$2000,0)),""))</f>
        <v/>
      </c>
      <c r="I128" s="11" t="str">
        <f aca="false">IF(D128="","",IF(D128&gt;UmbralAlarma,"Alarmante",IF(D128&gt;=UmbralRegular,"Regular","Bueno")))</f>
        <v/>
      </c>
      <c r="J128" s="11" t="str">
        <f aca="true">IF(COUNTA(A128:F128)=0,"",IF(OR(A128="",B128="",C128="",D128=""),"Faltan datos",IF(G128="","AP no está en el catálogo",IF(A128&gt;TODAY()+1,"Fecha futura",IF(OR(D128&lt;0,D128&lt;&gt;INT(D128)),"Usuarios no válidos",IF(AND(E128&lt;&gt;"",OR(E128&lt;0,E128&gt;1)),"Utilización fuera de 0-100%",IF(COUNTIFS($A$5:$A$604,A128,$B$5:$B$604,B128,$C$5:$C$604,C128)&gt;1,"Fila duplicada","OK")))))))</f>
        <v/>
      </c>
      <c r="K128" s="9"/>
    </row>
    <row r="129" customFormat="false" ht="15" hidden="false" customHeight="false" outlineLevel="0" collapsed="false">
      <c r="A129" s="7"/>
      <c r="B129" s="8"/>
      <c r="C129" s="9"/>
      <c r="D129" s="20"/>
      <c r="E129" s="10"/>
      <c r="F129" s="9"/>
      <c r="G129" s="11" t="str">
        <f aca="false">IF(C129="","",IFERROR(INDEX(Catálogo!$B$5:$B$2000,MATCH(C129,Catálogo!$A$5:$A$2000,0)),""))</f>
        <v/>
      </c>
      <c r="H129" s="11" t="str">
        <f aca="false">IF(C129="","",IFERROR(INDEX(Catálogo!$C$5:$C$2000,MATCH(C129,Catálogo!$A$5:$A$2000,0)),""))</f>
        <v/>
      </c>
      <c r="I129" s="11" t="str">
        <f aca="false">IF(D129="","",IF(D129&gt;UmbralAlarma,"Alarmante",IF(D129&gt;=UmbralRegular,"Regular","Bueno")))</f>
        <v/>
      </c>
      <c r="J129" s="11" t="str">
        <f aca="true">IF(COUNTA(A129:F129)=0,"",IF(OR(A129="",B129="",C129="",D129=""),"Faltan datos",IF(G129="","AP no está en el catálogo",IF(A129&gt;TODAY()+1,"Fecha futura",IF(OR(D129&lt;0,D129&lt;&gt;INT(D129)),"Usuarios no válidos",IF(AND(E129&lt;&gt;"",OR(E129&lt;0,E129&gt;1)),"Utilización fuera de 0-100%",IF(COUNTIFS($A$5:$A$604,A129,$B$5:$B$604,B129,$C$5:$C$604,C129)&gt;1,"Fila duplicada","OK")))))))</f>
        <v/>
      </c>
      <c r="K129" s="9"/>
    </row>
    <row r="130" customFormat="false" ht="15" hidden="false" customHeight="false" outlineLevel="0" collapsed="false">
      <c r="A130" s="7"/>
      <c r="B130" s="8"/>
      <c r="C130" s="9"/>
      <c r="D130" s="20"/>
      <c r="E130" s="10"/>
      <c r="F130" s="9"/>
      <c r="G130" s="11" t="str">
        <f aca="false">IF(C130="","",IFERROR(INDEX(Catálogo!$B$5:$B$2000,MATCH(C130,Catálogo!$A$5:$A$2000,0)),""))</f>
        <v/>
      </c>
      <c r="H130" s="11" t="str">
        <f aca="false">IF(C130="","",IFERROR(INDEX(Catálogo!$C$5:$C$2000,MATCH(C130,Catálogo!$A$5:$A$2000,0)),""))</f>
        <v/>
      </c>
      <c r="I130" s="11" t="str">
        <f aca="false">IF(D130="","",IF(D130&gt;UmbralAlarma,"Alarmante",IF(D130&gt;=UmbralRegular,"Regular","Bueno")))</f>
        <v/>
      </c>
      <c r="J130" s="11" t="str">
        <f aca="true">IF(COUNTA(A130:F130)=0,"",IF(OR(A130="",B130="",C130="",D130=""),"Faltan datos",IF(G130="","AP no está en el catálogo",IF(A130&gt;TODAY()+1,"Fecha futura",IF(OR(D130&lt;0,D130&lt;&gt;INT(D130)),"Usuarios no válidos",IF(AND(E130&lt;&gt;"",OR(E130&lt;0,E130&gt;1)),"Utilización fuera de 0-100%",IF(COUNTIFS($A$5:$A$604,A130,$B$5:$B$604,B130,$C$5:$C$604,C130)&gt;1,"Fila duplicada","OK")))))))</f>
        <v/>
      </c>
      <c r="K130" s="9"/>
    </row>
    <row r="131" customFormat="false" ht="15" hidden="false" customHeight="false" outlineLevel="0" collapsed="false">
      <c r="A131" s="7"/>
      <c r="B131" s="8"/>
      <c r="C131" s="9"/>
      <c r="D131" s="20"/>
      <c r="E131" s="10"/>
      <c r="F131" s="9"/>
      <c r="G131" s="11" t="str">
        <f aca="false">IF(C131="","",IFERROR(INDEX(Catálogo!$B$5:$B$2000,MATCH(C131,Catálogo!$A$5:$A$2000,0)),""))</f>
        <v/>
      </c>
      <c r="H131" s="11" t="str">
        <f aca="false">IF(C131="","",IFERROR(INDEX(Catálogo!$C$5:$C$2000,MATCH(C131,Catálogo!$A$5:$A$2000,0)),""))</f>
        <v/>
      </c>
      <c r="I131" s="11" t="str">
        <f aca="false">IF(D131="","",IF(D131&gt;UmbralAlarma,"Alarmante",IF(D131&gt;=UmbralRegular,"Regular","Bueno")))</f>
        <v/>
      </c>
      <c r="J131" s="11" t="str">
        <f aca="true">IF(COUNTA(A131:F131)=0,"",IF(OR(A131="",B131="",C131="",D131=""),"Faltan datos",IF(G131="","AP no está en el catálogo",IF(A131&gt;TODAY()+1,"Fecha futura",IF(OR(D131&lt;0,D131&lt;&gt;INT(D131)),"Usuarios no válidos",IF(AND(E131&lt;&gt;"",OR(E131&lt;0,E131&gt;1)),"Utilización fuera de 0-100%",IF(COUNTIFS($A$5:$A$604,A131,$B$5:$B$604,B131,$C$5:$C$604,C131)&gt;1,"Fila duplicada","OK")))))))</f>
        <v/>
      </c>
      <c r="K131" s="9"/>
    </row>
    <row r="132" customFormat="false" ht="15" hidden="false" customHeight="false" outlineLevel="0" collapsed="false">
      <c r="A132" s="7"/>
      <c r="B132" s="8"/>
      <c r="C132" s="9"/>
      <c r="D132" s="20"/>
      <c r="E132" s="10"/>
      <c r="F132" s="9"/>
      <c r="G132" s="11" t="str">
        <f aca="false">IF(C132="","",IFERROR(INDEX(Catálogo!$B$5:$B$2000,MATCH(C132,Catálogo!$A$5:$A$2000,0)),""))</f>
        <v/>
      </c>
      <c r="H132" s="11" t="str">
        <f aca="false">IF(C132="","",IFERROR(INDEX(Catálogo!$C$5:$C$2000,MATCH(C132,Catálogo!$A$5:$A$2000,0)),""))</f>
        <v/>
      </c>
      <c r="I132" s="11" t="str">
        <f aca="false">IF(D132="","",IF(D132&gt;UmbralAlarma,"Alarmante",IF(D132&gt;=UmbralRegular,"Regular","Bueno")))</f>
        <v/>
      </c>
      <c r="J132" s="11" t="str">
        <f aca="true">IF(COUNTA(A132:F132)=0,"",IF(OR(A132="",B132="",C132="",D132=""),"Faltan datos",IF(G132="","AP no está en el catálogo",IF(A132&gt;TODAY()+1,"Fecha futura",IF(OR(D132&lt;0,D132&lt;&gt;INT(D132)),"Usuarios no válidos",IF(AND(E132&lt;&gt;"",OR(E132&lt;0,E132&gt;1)),"Utilización fuera de 0-100%",IF(COUNTIFS($A$5:$A$604,A132,$B$5:$B$604,B132,$C$5:$C$604,C132)&gt;1,"Fila duplicada","OK")))))))</f>
        <v/>
      </c>
      <c r="K132" s="9"/>
    </row>
    <row r="133" customFormat="false" ht="15" hidden="false" customHeight="false" outlineLevel="0" collapsed="false">
      <c r="A133" s="7"/>
      <c r="B133" s="8"/>
      <c r="C133" s="9"/>
      <c r="D133" s="20"/>
      <c r="E133" s="10"/>
      <c r="F133" s="9"/>
      <c r="G133" s="11" t="str">
        <f aca="false">IF(C133="","",IFERROR(INDEX(Catálogo!$B$5:$B$2000,MATCH(C133,Catálogo!$A$5:$A$2000,0)),""))</f>
        <v/>
      </c>
      <c r="H133" s="11" t="str">
        <f aca="false">IF(C133="","",IFERROR(INDEX(Catálogo!$C$5:$C$2000,MATCH(C133,Catálogo!$A$5:$A$2000,0)),""))</f>
        <v/>
      </c>
      <c r="I133" s="11" t="str">
        <f aca="false">IF(D133="","",IF(D133&gt;UmbralAlarma,"Alarmante",IF(D133&gt;=UmbralRegular,"Regular","Bueno")))</f>
        <v/>
      </c>
      <c r="J133" s="11" t="str">
        <f aca="true">IF(COUNTA(A133:F133)=0,"",IF(OR(A133="",B133="",C133="",D133=""),"Faltan datos",IF(G133="","AP no está en el catálogo",IF(A133&gt;TODAY()+1,"Fecha futura",IF(OR(D133&lt;0,D133&lt;&gt;INT(D133)),"Usuarios no válidos",IF(AND(E133&lt;&gt;"",OR(E133&lt;0,E133&gt;1)),"Utilización fuera de 0-100%",IF(COUNTIFS($A$5:$A$604,A133,$B$5:$B$604,B133,$C$5:$C$604,C133)&gt;1,"Fila duplicada","OK")))))))</f>
        <v/>
      </c>
      <c r="K133" s="9"/>
    </row>
    <row r="134" customFormat="false" ht="15" hidden="false" customHeight="false" outlineLevel="0" collapsed="false">
      <c r="A134" s="7"/>
      <c r="B134" s="8"/>
      <c r="C134" s="9"/>
      <c r="D134" s="20"/>
      <c r="E134" s="10"/>
      <c r="F134" s="9"/>
      <c r="G134" s="11" t="str">
        <f aca="false">IF(C134="","",IFERROR(INDEX(Catálogo!$B$5:$B$2000,MATCH(C134,Catálogo!$A$5:$A$2000,0)),""))</f>
        <v/>
      </c>
      <c r="H134" s="11" t="str">
        <f aca="false">IF(C134="","",IFERROR(INDEX(Catálogo!$C$5:$C$2000,MATCH(C134,Catálogo!$A$5:$A$2000,0)),""))</f>
        <v/>
      </c>
      <c r="I134" s="11" t="str">
        <f aca="false">IF(D134="","",IF(D134&gt;UmbralAlarma,"Alarmante",IF(D134&gt;=UmbralRegular,"Regular","Bueno")))</f>
        <v/>
      </c>
      <c r="J134" s="11" t="str">
        <f aca="true">IF(COUNTA(A134:F134)=0,"",IF(OR(A134="",B134="",C134="",D134=""),"Faltan datos",IF(G134="","AP no está en el catálogo",IF(A134&gt;TODAY()+1,"Fecha futura",IF(OR(D134&lt;0,D134&lt;&gt;INT(D134)),"Usuarios no válidos",IF(AND(E134&lt;&gt;"",OR(E134&lt;0,E134&gt;1)),"Utilización fuera de 0-100%",IF(COUNTIFS($A$5:$A$604,A134,$B$5:$B$604,B134,$C$5:$C$604,C134)&gt;1,"Fila duplicada","OK")))))))</f>
        <v/>
      </c>
      <c r="K134" s="9"/>
    </row>
    <row r="135" customFormat="false" ht="15" hidden="false" customHeight="false" outlineLevel="0" collapsed="false">
      <c r="A135" s="7"/>
      <c r="B135" s="8"/>
      <c r="C135" s="9"/>
      <c r="D135" s="20"/>
      <c r="E135" s="10"/>
      <c r="F135" s="9"/>
      <c r="G135" s="11" t="str">
        <f aca="false">IF(C135="","",IFERROR(INDEX(Catálogo!$B$5:$B$2000,MATCH(C135,Catálogo!$A$5:$A$2000,0)),""))</f>
        <v/>
      </c>
      <c r="H135" s="11" t="str">
        <f aca="false">IF(C135="","",IFERROR(INDEX(Catálogo!$C$5:$C$2000,MATCH(C135,Catálogo!$A$5:$A$2000,0)),""))</f>
        <v/>
      </c>
      <c r="I135" s="11" t="str">
        <f aca="false">IF(D135="","",IF(D135&gt;UmbralAlarma,"Alarmante",IF(D135&gt;=UmbralRegular,"Regular","Bueno")))</f>
        <v/>
      </c>
      <c r="J135" s="11" t="str">
        <f aca="true">IF(COUNTA(A135:F135)=0,"",IF(OR(A135="",B135="",C135="",D135=""),"Faltan datos",IF(G135="","AP no está en el catálogo",IF(A135&gt;TODAY()+1,"Fecha futura",IF(OR(D135&lt;0,D135&lt;&gt;INT(D135)),"Usuarios no válidos",IF(AND(E135&lt;&gt;"",OR(E135&lt;0,E135&gt;1)),"Utilización fuera de 0-100%",IF(COUNTIFS($A$5:$A$604,A135,$B$5:$B$604,B135,$C$5:$C$604,C135)&gt;1,"Fila duplicada","OK")))))))</f>
        <v/>
      </c>
      <c r="K135" s="9"/>
    </row>
    <row r="136" customFormat="false" ht="15" hidden="false" customHeight="false" outlineLevel="0" collapsed="false">
      <c r="A136" s="7"/>
      <c r="B136" s="8"/>
      <c r="C136" s="9"/>
      <c r="D136" s="20"/>
      <c r="E136" s="10"/>
      <c r="F136" s="9"/>
      <c r="G136" s="11" t="str">
        <f aca="false">IF(C136="","",IFERROR(INDEX(Catálogo!$B$5:$B$2000,MATCH(C136,Catálogo!$A$5:$A$2000,0)),""))</f>
        <v/>
      </c>
      <c r="H136" s="11" t="str">
        <f aca="false">IF(C136="","",IFERROR(INDEX(Catálogo!$C$5:$C$2000,MATCH(C136,Catálogo!$A$5:$A$2000,0)),""))</f>
        <v/>
      </c>
      <c r="I136" s="11" t="str">
        <f aca="false">IF(D136="","",IF(D136&gt;UmbralAlarma,"Alarmante",IF(D136&gt;=UmbralRegular,"Regular","Bueno")))</f>
        <v/>
      </c>
      <c r="J136" s="11" t="str">
        <f aca="true">IF(COUNTA(A136:F136)=0,"",IF(OR(A136="",B136="",C136="",D136=""),"Faltan datos",IF(G136="","AP no está en el catálogo",IF(A136&gt;TODAY()+1,"Fecha futura",IF(OR(D136&lt;0,D136&lt;&gt;INT(D136)),"Usuarios no válidos",IF(AND(E136&lt;&gt;"",OR(E136&lt;0,E136&gt;1)),"Utilización fuera de 0-100%",IF(COUNTIFS($A$5:$A$604,A136,$B$5:$B$604,B136,$C$5:$C$604,C136)&gt;1,"Fila duplicada","OK")))))))</f>
        <v/>
      </c>
      <c r="K136" s="9"/>
    </row>
    <row r="137" customFormat="false" ht="15" hidden="false" customHeight="false" outlineLevel="0" collapsed="false">
      <c r="A137" s="7"/>
      <c r="B137" s="8"/>
      <c r="C137" s="9"/>
      <c r="D137" s="20"/>
      <c r="E137" s="10"/>
      <c r="F137" s="9"/>
      <c r="G137" s="11" t="str">
        <f aca="false">IF(C137="","",IFERROR(INDEX(Catálogo!$B$5:$B$2000,MATCH(C137,Catálogo!$A$5:$A$2000,0)),""))</f>
        <v/>
      </c>
      <c r="H137" s="11" t="str">
        <f aca="false">IF(C137="","",IFERROR(INDEX(Catálogo!$C$5:$C$2000,MATCH(C137,Catálogo!$A$5:$A$2000,0)),""))</f>
        <v/>
      </c>
      <c r="I137" s="11" t="str">
        <f aca="false">IF(D137="","",IF(D137&gt;UmbralAlarma,"Alarmante",IF(D137&gt;=UmbralRegular,"Regular","Bueno")))</f>
        <v/>
      </c>
      <c r="J137" s="11" t="str">
        <f aca="true">IF(COUNTA(A137:F137)=0,"",IF(OR(A137="",B137="",C137="",D137=""),"Faltan datos",IF(G137="","AP no está en el catálogo",IF(A137&gt;TODAY()+1,"Fecha futura",IF(OR(D137&lt;0,D137&lt;&gt;INT(D137)),"Usuarios no válidos",IF(AND(E137&lt;&gt;"",OR(E137&lt;0,E137&gt;1)),"Utilización fuera de 0-100%",IF(COUNTIFS($A$5:$A$604,A137,$B$5:$B$604,B137,$C$5:$C$604,C137)&gt;1,"Fila duplicada","OK")))))))</f>
        <v/>
      </c>
      <c r="K137" s="9"/>
    </row>
    <row r="138" customFormat="false" ht="15" hidden="false" customHeight="false" outlineLevel="0" collapsed="false">
      <c r="A138" s="7"/>
      <c r="B138" s="8"/>
      <c r="C138" s="9"/>
      <c r="D138" s="20"/>
      <c r="E138" s="10"/>
      <c r="F138" s="9"/>
      <c r="G138" s="11" t="str">
        <f aca="false">IF(C138="","",IFERROR(INDEX(Catálogo!$B$5:$B$2000,MATCH(C138,Catálogo!$A$5:$A$2000,0)),""))</f>
        <v/>
      </c>
      <c r="H138" s="11" t="str">
        <f aca="false">IF(C138="","",IFERROR(INDEX(Catálogo!$C$5:$C$2000,MATCH(C138,Catálogo!$A$5:$A$2000,0)),""))</f>
        <v/>
      </c>
      <c r="I138" s="11" t="str">
        <f aca="false">IF(D138="","",IF(D138&gt;UmbralAlarma,"Alarmante",IF(D138&gt;=UmbralRegular,"Regular","Bueno")))</f>
        <v/>
      </c>
      <c r="J138" s="11" t="str">
        <f aca="true">IF(COUNTA(A138:F138)=0,"",IF(OR(A138="",B138="",C138="",D138=""),"Faltan datos",IF(G138="","AP no está en el catálogo",IF(A138&gt;TODAY()+1,"Fecha futura",IF(OR(D138&lt;0,D138&lt;&gt;INT(D138)),"Usuarios no válidos",IF(AND(E138&lt;&gt;"",OR(E138&lt;0,E138&gt;1)),"Utilización fuera de 0-100%",IF(COUNTIFS($A$5:$A$604,A138,$B$5:$B$604,B138,$C$5:$C$604,C138)&gt;1,"Fila duplicada","OK")))))))</f>
        <v/>
      </c>
      <c r="K138" s="9"/>
    </row>
    <row r="139" customFormat="false" ht="15" hidden="false" customHeight="false" outlineLevel="0" collapsed="false">
      <c r="A139" s="7"/>
      <c r="B139" s="8"/>
      <c r="C139" s="9"/>
      <c r="D139" s="20"/>
      <c r="E139" s="10"/>
      <c r="F139" s="9"/>
      <c r="G139" s="11" t="str">
        <f aca="false">IF(C139="","",IFERROR(INDEX(Catálogo!$B$5:$B$2000,MATCH(C139,Catálogo!$A$5:$A$2000,0)),""))</f>
        <v/>
      </c>
      <c r="H139" s="11" t="str">
        <f aca="false">IF(C139="","",IFERROR(INDEX(Catálogo!$C$5:$C$2000,MATCH(C139,Catálogo!$A$5:$A$2000,0)),""))</f>
        <v/>
      </c>
      <c r="I139" s="11" t="str">
        <f aca="false">IF(D139="","",IF(D139&gt;UmbralAlarma,"Alarmante",IF(D139&gt;=UmbralRegular,"Regular","Bueno")))</f>
        <v/>
      </c>
      <c r="J139" s="11" t="str">
        <f aca="true">IF(COUNTA(A139:F139)=0,"",IF(OR(A139="",B139="",C139="",D139=""),"Faltan datos",IF(G139="","AP no está en el catálogo",IF(A139&gt;TODAY()+1,"Fecha futura",IF(OR(D139&lt;0,D139&lt;&gt;INT(D139)),"Usuarios no válidos",IF(AND(E139&lt;&gt;"",OR(E139&lt;0,E139&gt;1)),"Utilización fuera de 0-100%",IF(COUNTIFS($A$5:$A$604,A139,$B$5:$B$604,B139,$C$5:$C$604,C139)&gt;1,"Fila duplicada","OK")))))))</f>
        <v/>
      </c>
      <c r="K139" s="9"/>
    </row>
    <row r="140" customFormat="false" ht="15" hidden="false" customHeight="false" outlineLevel="0" collapsed="false">
      <c r="A140" s="7"/>
      <c r="B140" s="8"/>
      <c r="C140" s="9"/>
      <c r="D140" s="20"/>
      <c r="E140" s="10"/>
      <c r="F140" s="9"/>
      <c r="G140" s="11" t="str">
        <f aca="false">IF(C140="","",IFERROR(INDEX(Catálogo!$B$5:$B$2000,MATCH(C140,Catálogo!$A$5:$A$2000,0)),""))</f>
        <v/>
      </c>
      <c r="H140" s="11" t="str">
        <f aca="false">IF(C140="","",IFERROR(INDEX(Catálogo!$C$5:$C$2000,MATCH(C140,Catálogo!$A$5:$A$2000,0)),""))</f>
        <v/>
      </c>
      <c r="I140" s="11" t="str">
        <f aca="false">IF(D140="","",IF(D140&gt;UmbralAlarma,"Alarmante",IF(D140&gt;=UmbralRegular,"Regular","Bueno")))</f>
        <v/>
      </c>
      <c r="J140" s="11" t="str">
        <f aca="true">IF(COUNTA(A140:F140)=0,"",IF(OR(A140="",B140="",C140="",D140=""),"Faltan datos",IF(G140="","AP no está en el catálogo",IF(A140&gt;TODAY()+1,"Fecha futura",IF(OR(D140&lt;0,D140&lt;&gt;INT(D140)),"Usuarios no válidos",IF(AND(E140&lt;&gt;"",OR(E140&lt;0,E140&gt;1)),"Utilización fuera de 0-100%",IF(COUNTIFS($A$5:$A$604,A140,$B$5:$B$604,B140,$C$5:$C$604,C140)&gt;1,"Fila duplicada","OK")))))))</f>
        <v/>
      </c>
      <c r="K140" s="9"/>
    </row>
    <row r="141" customFormat="false" ht="15" hidden="false" customHeight="false" outlineLevel="0" collapsed="false">
      <c r="A141" s="7"/>
      <c r="B141" s="8"/>
      <c r="C141" s="9"/>
      <c r="D141" s="20"/>
      <c r="E141" s="10"/>
      <c r="F141" s="9"/>
      <c r="G141" s="11" t="str">
        <f aca="false">IF(C141="","",IFERROR(INDEX(Catálogo!$B$5:$B$2000,MATCH(C141,Catálogo!$A$5:$A$2000,0)),""))</f>
        <v/>
      </c>
      <c r="H141" s="11" t="str">
        <f aca="false">IF(C141="","",IFERROR(INDEX(Catálogo!$C$5:$C$2000,MATCH(C141,Catálogo!$A$5:$A$2000,0)),""))</f>
        <v/>
      </c>
      <c r="I141" s="11" t="str">
        <f aca="false">IF(D141="","",IF(D141&gt;UmbralAlarma,"Alarmante",IF(D141&gt;=UmbralRegular,"Regular","Bueno")))</f>
        <v/>
      </c>
      <c r="J141" s="11" t="str">
        <f aca="true">IF(COUNTA(A141:F141)=0,"",IF(OR(A141="",B141="",C141="",D141=""),"Faltan datos",IF(G141="","AP no está en el catálogo",IF(A141&gt;TODAY()+1,"Fecha futura",IF(OR(D141&lt;0,D141&lt;&gt;INT(D141)),"Usuarios no válidos",IF(AND(E141&lt;&gt;"",OR(E141&lt;0,E141&gt;1)),"Utilización fuera de 0-100%",IF(COUNTIFS($A$5:$A$604,A141,$B$5:$B$604,B141,$C$5:$C$604,C141)&gt;1,"Fila duplicada","OK")))))))</f>
        <v/>
      </c>
      <c r="K141" s="9"/>
    </row>
    <row r="142" customFormat="false" ht="15" hidden="false" customHeight="false" outlineLevel="0" collapsed="false">
      <c r="A142" s="7"/>
      <c r="B142" s="8"/>
      <c r="C142" s="9"/>
      <c r="D142" s="20"/>
      <c r="E142" s="10"/>
      <c r="F142" s="9"/>
      <c r="G142" s="11" t="str">
        <f aca="false">IF(C142="","",IFERROR(INDEX(Catálogo!$B$5:$B$2000,MATCH(C142,Catálogo!$A$5:$A$2000,0)),""))</f>
        <v/>
      </c>
      <c r="H142" s="11" t="str">
        <f aca="false">IF(C142="","",IFERROR(INDEX(Catálogo!$C$5:$C$2000,MATCH(C142,Catálogo!$A$5:$A$2000,0)),""))</f>
        <v/>
      </c>
      <c r="I142" s="11" t="str">
        <f aca="false">IF(D142="","",IF(D142&gt;UmbralAlarma,"Alarmante",IF(D142&gt;=UmbralRegular,"Regular","Bueno")))</f>
        <v/>
      </c>
      <c r="J142" s="11" t="str">
        <f aca="true">IF(COUNTA(A142:F142)=0,"",IF(OR(A142="",B142="",C142="",D142=""),"Faltan datos",IF(G142="","AP no está en el catálogo",IF(A142&gt;TODAY()+1,"Fecha futura",IF(OR(D142&lt;0,D142&lt;&gt;INT(D142)),"Usuarios no válidos",IF(AND(E142&lt;&gt;"",OR(E142&lt;0,E142&gt;1)),"Utilización fuera de 0-100%",IF(COUNTIFS($A$5:$A$604,A142,$B$5:$B$604,B142,$C$5:$C$604,C142)&gt;1,"Fila duplicada","OK")))))))</f>
        <v/>
      </c>
      <c r="K142" s="9"/>
    </row>
    <row r="143" customFormat="false" ht="15" hidden="false" customHeight="false" outlineLevel="0" collapsed="false">
      <c r="A143" s="7"/>
      <c r="B143" s="8"/>
      <c r="C143" s="9"/>
      <c r="D143" s="20"/>
      <c r="E143" s="10"/>
      <c r="F143" s="9"/>
      <c r="G143" s="11" t="str">
        <f aca="false">IF(C143="","",IFERROR(INDEX(Catálogo!$B$5:$B$2000,MATCH(C143,Catálogo!$A$5:$A$2000,0)),""))</f>
        <v/>
      </c>
      <c r="H143" s="11" t="str">
        <f aca="false">IF(C143="","",IFERROR(INDEX(Catálogo!$C$5:$C$2000,MATCH(C143,Catálogo!$A$5:$A$2000,0)),""))</f>
        <v/>
      </c>
      <c r="I143" s="11" t="str">
        <f aca="false">IF(D143="","",IF(D143&gt;UmbralAlarma,"Alarmante",IF(D143&gt;=UmbralRegular,"Regular","Bueno")))</f>
        <v/>
      </c>
      <c r="J143" s="11" t="str">
        <f aca="true">IF(COUNTA(A143:F143)=0,"",IF(OR(A143="",B143="",C143="",D143=""),"Faltan datos",IF(G143="","AP no está en el catálogo",IF(A143&gt;TODAY()+1,"Fecha futura",IF(OR(D143&lt;0,D143&lt;&gt;INT(D143)),"Usuarios no válidos",IF(AND(E143&lt;&gt;"",OR(E143&lt;0,E143&gt;1)),"Utilización fuera de 0-100%",IF(COUNTIFS($A$5:$A$604,A143,$B$5:$B$604,B143,$C$5:$C$604,C143)&gt;1,"Fila duplicada","OK")))))))</f>
        <v/>
      </c>
      <c r="K143" s="9"/>
    </row>
    <row r="144" customFormat="false" ht="15" hidden="false" customHeight="false" outlineLevel="0" collapsed="false">
      <c r="A144" s="7"/>
      <c r="B144" s="8"/>
      <c r="C144" s="9"/>
      <c r="D144" s="20"/>
      <c r="E144" s="10"/>
      <c r="F144" s="9"/>
      <c r="G144" s="11" t="str">
        <f aca="false">IF(C144="","",IFERROR(INDEX(Catálogo!$B$5:$B$2000,MATCH(C144,Catálogo!$A$5:$A$2000,0)),""))</f>
        <v/>
      </c>
      <c r="H144" s="11" t="str">
        <f aca="false">IF(C144="","",IFERROR(INDEX(Catálogo!$C$5:$C$2000,MATCH(C144,Catálogo!$A$5:$A$2000,0)),""))</f>
        <v/>
      </c>
      <c r="I144" s="11" t="str">
        <f aca="false">IF(D144="","",IF(D144&gt;UmbralAlarma,"Alarmante",IF(D144&gt;=UmbralRegular,"Regular","Bueno")))</f>
        <v/>
      </c>
      <c r="J144" s="11" t="str">
        <f aca="true">IF(COUNTA(A144:F144)=0,"",IF(OR(A144="",B144="",C144="",D144=""),"Faltan datos",IF(G144="","AP no está en el catálogo",IF(A144&gt;TODAY()+1,"Fecha futura",IF(OR(D144&lt;0,D144&lt;&gt;INT(D144)),"Usuarios no válidos",IF(AND(E144&lt;&gt;"",OR(E144&lt;0,E144&gt;1)),"Utilización fuera de 0-100%",IF(COUNTIFS($A$5:$A$604,A144,$B$5:$B$604,B144,$C$5:$C$604,C144)&gt;1,"Fila duplicada","OK")))))))</f>
        <v/>
      </c>
      <c r="K144" s="9"/>
    </row>
    <row r="145" customFormat="false" ht="15" hidden="false" customHeight="false" outlineLevel="0" collapsed="false">
      <c r="A145" s="7"/>
      <c r="B145" s="8"/>
      <c r="C145" s="9"/>
      <c r="D145" s="20"/>
      <c r="E145" s="10"/>
      <c r="F145" s="9"/>
      <c r="G145" s="11" t="str">
        <f aca="false">IF(C145="","",IFERROR(INDEX(Catálogo!$B$5:$B$2000,MATCH(C145,Catálogo!$A$5:$A$2000,0)),""))</f>
        <v/>
      </c>
      <c r="H145" s="11" t="str">
        <f aca="false">IF(C145="","",IFERROR(INDEX(Catálogo!$C$5:$C$2000,MATCH(C145,Catálogo!$A$5:$A$2000,0)),""))</f>
        <v/>
      </c>
      <c r="I145" s="11" t="str">
        <f aca="false">IF(D145="","",IF(D145&gt;UmbralAlarma,"Alarmante",IF(D145&gt;=UmbralRegular,"Regular","Bueno")))</f>
        <v/>
      </c>
      <c r="J145" s="11" t="str">
        <f aca="true">IF(COUNTA(A145:F145)=0,"",IF(OR(A145="",B145="",C145="",D145=""),"Faltan datos",IF(G145="","AP no está en el catálogo",IF(A145&gt;TODAY()+1,"Fecha futura",IF(OR(D145&lt;0,D145&lt;&gt;INT(D145)),"Usuarios no válidos",IF(AND(E145&lt;&gt;"",OR(E145&lt;0,E145&gt;1)),"Utilización fuera de 0-100%",IF(COUNTIFS($A$5:$A$604,A145,$B$5:$B$604,B145,$C$5:$C$604,C145)&gt;1,"Fila duplicada","OK")))))))</f>
        <v/>
      </c>
      <c r="K145" s="9"/>
    </row>
    <row r="146" customFormat="false" ht="15" hidden="false" customHeight="false" outlineLevel="0" collapsed="false">
      <c r="A146" s="7"/>
      <c r="B146" s="8"/>
      <c r="C146" s="9"/>
      <c r="D146" s="20"/>
      <c r="E146" s="10"/>
      <c r="F146" s="9"/>
      <c r="G146" s="11" t="str">
        <f aca="false">IF(C146="","",IFERROR(INDEX(Catálogo!$B$5:$B$2000,MATCH(C146,Catálogo!$A$5:$A$2000,0)),""))</f>
        <v/>
      </c>
      <c r="H146" s="11" t="str">
        <f aca="false">IF(C146="","",IFERROR(INDEX(Catálogo!$C$5:$C$2000,MATCH(C146,Catálogo!$A$5:$A$2000,0)),""))</f>
        <v/>
      </c>
      <c r="I146" s="11" t="str">
        <f aca="false">IF(D146="","",IF(D146&gt;UmbralAlarma,"Alarmante",IF(D146&gt;=UmbralRegular,"Regular","Bueno")))</f>
        <v/>
      </c>
      <c r="J146" s="11" t="str">
        <f aca="true">IF(COUNTA(A146:F146)=0,"",IF(OR(A146="",B146="",C146="",D146=""),"Faltan datos",IF(G146="","AP no está en el catálogo",IF(A146&gt;TODAY()+1,"Fecha futura",IF(OR(D146&lt;0,D146&lt;&gt;INT(D146)),"Usuarios no válidos",IF(AND(E146&lt;&gt;"",OR(E146&lt;0,E146&gt;1)),"Utilización fuera de 0-100%",IF(COUNTIFS($A$5:$A$604,A146,$B$5:$B$604,B146,$C$5:$C$604,C146)&gt;1,"Fila duplicada","OK")))))))</f>
        <v/>
      </c>
      <c r="K146" s="9"/>
    </row>
    <row r="147" customFormat="false" ht="15" hidden="false" customHeight="false" outlineLevel="0" collapsed="false">
      <c r="A147" s="7"/>
      <c r="B147" s="8"/>
      <c r="C147" s="9"/>
      <c r="D147" s="20"/>
      <c r="E147" s="10"/>
      <c r="F147" s="9"/>
      <c r="G147" s="11" t="str">
        <f aca="false">IF(C147="","",IFERROR(INDEX(Catálogo!$B$5:$B$2000,MATCH(C147,Catálogo!$A$5:$A$2000,0)),""))</f>
        <v/>
      </c>
      <c r="H147" s="11" t="str">
        <f aca="false">IF(C147="","",IFERROR(INDEX(Catálogo!$C$5:$C$2000,MATCH(C147,Catálogo!$A$5:$A$2000,0)),""))</f>
        <v/>
      </c>
      <c r="I147" s="11" t="str">
        <f aca="false">IF(D147="","",IF(D147&gt;UmbralAlarma,"Alarmante",IF(D147&gt;=UmbralRegular,"Regular","Bueno")))</f>
        <v/>
      </c>
      <c r="J147" s="11" t="str">
        <f aca="true">IF(COUNTA(A147:F147)=0,"",IF(OR(A147="",B147="",C147="",D147=""),"Faltan datos",IF(G147="","AP no está en el catálogo",IF(A147&gt;TODAY()+1,"Fecha futura",IF(OR(D147&lt;0,D147&lt;&gt;INT(D147)),"Usuarios no válidos",IF(AND(E147&lt;&gt;"",OR(E147&lt;0,E147&gt;1)),"Utilización fuera de 0-100%",IF(COUNTIFS($A$5:$A$604,A147,$B$5:$B$604,B147,$C$5:$C$604,C147)&gt;1,"Fila duplicada","OK")))))))</f>
        <v/>
      </c>
      <c r="K147" s="9"/>
    </row>
    <row r="148" customFormat="false" ht="15" hidden="false" customHeight="false" outlineLevel="0" collapsed="false">
      <c r="A148" s="7"/>
      <c r="B148" s="8"/>
      <c r="C148" s="9"/>
      <c r="D148" s="20"/>
      <c r="E148" s="10"/>
      <c r="F148" s="9"/>
      <c r="G148" s="11" t="str">
        <f aca="false">IF(C148="","",IFERROR(INDEX(Catálogo!$B$5:$B$2000,MATCH(C148,Catálogo!$A$5:$A$2000,0)),""))</f>
        <v/>
      </c>
      <c r="H148" s="11" t="str">
        <f aca="false">IF(C148="","",IFERROR(INDEX(Catálogo!$C$5:$C$2000,MATCH(C148,Catálogo!$A$5:$A$2000,0)),""))</f>
        <v/>
      </c>
      <c r="I148" s="11" t="str">
        <f aca="false">IF(D148="","",IF(D148&gt;UmbralAlarma,"Alarmante",IF(D148&gt;=UmbralRegular,"Regular","Bueno")))</f>
        <v/>
      </c>
      <c r="J148" s="11" t="str">
        <f aca="true">IF(COUNTA(A148:F148)=0,"",IF(OR(A148="",B148="",C148="",D148=""),"Faltan datos",IF(G148="","AP no está en el catálogo",IF(A148&gt;TODAY()+1,"Fecha futura",IF(OR(D148&lt;0,D148&lt;&gt;INT(D148)),"Usuarios no válidos",IF(AND(E148&lt;&gt;"",OR(E148&lt;0,E148&gt;1)),"Utilización fuera de 0-100%",IF(COUNTIFS($A$5:$A$604,A148,$B$5:$B$604,B148,$C$5:$C$604,C148)&gt;1,"Fila duplicada","OK")))))))</f>
        <v/>
      </c>
      <c r="K148" s="9"/>
    </row>
    <row r="149" customFormat="false" ht="15" hidden="false" customHeight="false" outlineLevel="0" collapsed="false">
      <c r="A149" s="7"/>
      <c r="B149" s="8"/>
      <c r="C149" s="9"/>
      <c r="D149" s="20"/>
      <c r="E149" s="10"/>
      <c r="F149" s="9"/>
      <c r="G149" s="11" t="str">
        <f aca="false">IF(C149="","",IFERROR(INDEX(Catálogo!$B$5:$B$2000,MATCH(C149,Catálogo!$A$5:$A$2000,0)),""))</f>
        <v/>
      </c>
      <c r="H149" s="11" t="str">
        <f aca="false">IF(C149="","",IFERROR(INDEX(Catálogo!$C$5:$C$2000,MATCH(C149,Catálogo!$A$5:$A$2000,0)),""))</f>
        <v/>
      </c>
      <c r="I149" s="11" t="str">
        <f aca="false">IF(D149="","",IF(D149&gt;UmbralAlarma,"Alarmante",IF(D149&gt;=UmbralRegular,"Regular","Bueno")))</f>
        <v/>
      </c>
      <c r="J149" s="11" t="str">
        <f aca="true">IF(COUNTA(A149:F149)=0,"",IF(OR(A149="",B149="",C149="",D149=""),"Faltan datos",IF(G149="","AP no está en el catálogo",IF(A149&gt;TODAY()+1,"Fecha futura",IF(OR(D149&lt;0,D149&lt;&gt;INT(D149)),"Usuarios no válidos",IF(AND(E149&lt;&gt;"",OR(E149&lt;0,E149&gt;1)),"Utilización fuera de 0-100%",IF(COUNTIFS($A$5:$A$604,A149,$B$5:$B$604,B149,$C$5:$C$604,C149)&gt;1,"Fila duplicada","OK")))))))</f>
        <v/>
      </c>
      <c r="K149" s="9"/>
    </row>
    <row r="150" customFormat="false" ht="15" hidden="false" customHeight="false" outlineLevel="0" collapsed="false">
      <c r="A150" s="7"/>
      <c r="B150" s="8"/>
      <c r="C150" s="9"/>
      <c r="D150" s="20"/>
      <c r="E150" s="10"/>
      <c r="F150" s="9"/>
      <c r="G150" s="11" t="str">
        <f aca="false">IF(C150="","",IFERROR(INDEX(Catálogo!$B$5:$B$2000,MATCH(C150,Catálogo!$A$5:$A$2000,0)),""))</f>
        <v/>
      </c>
      <c r="H150" s="11" t="str">
        <f aca="false">IF(C150="","",IFERROR(INDEX(Catálogo!$C$5:$C$2000,MATCH(C150,Catálogo!$A$5:$A$2000,0)),""))</f>
        <v/>
      </c>
      <c r="I150" s="11" t="str">
        <f aca="false">IF(D150="","",IF(D150&gt;UmbralAlarma,"Alarmante",IF(D150&gt;=UmbralRegular,"Regular","Bueno")))</f>
        <v/>
      </c>
      <c r="J150" s="11" t="str">
        <f aca="true">IF(COUNTA(A150:F150)=0,"",IF(OR(A150="",B150="",C150="",D150=""),"Faltan datos",IF(G150="","AP no está en el catálogo",IF(A150&gt;TODAY()+1,"Fecha futura",IF(OR(D150&lt;0,D150&lt;&gt;INT(D150)),"Usuarios no válidos",IF(AND(E150&lt;&gt;"",OR(E150&lt;0,E150&gt;1)),"Utilización fuera de 0-100%",IF(COUNTIFS($A$5:$A$604,A150,$B$5:$B$604,B150,$C$5:$C$604,C150)&gt;1,"Fila duplicada","OK")))))))</f>
        <v/>
      </c>
      <c r="K150" s="9"/>
    </row>
    <row r="151" customFormat="false" ht="15" hidden="false" customHeight="false" outlineLevel="0" collapsed="false">
      <c r="A151" s="7"/>
      <c r="B151" s="8"/>
      <c r="C151" s="9"/>
      <c r="D151" s="20"/>
      <c r="E151" s="10"/>
      <c r="F151" s="9"/>
      <c r="G151" s="11" t="str">
        <f aca="false">IF(C151="","",IFERROR(INDEX(Catálogo!$B$5:$B$2000,MATCH(C151,Catálogo!$A$5:$A$2000,0)),""))</f>
        <v/>
      </c>
      <c r="H151" s="11" t="str">
        <f aca="false">IF(C151="","",IFERROR(INDEX(Catálogo!$C$5:$C$2000,MATCH(C151,Catálogo!$A$5:$A$2000,0)),""))</f>
        <v/>
      </c>
      <c r="I151" s="11" t="str">
        <f aca="false">IF(D151="","",IF(D151&gt;UmbralAlarma,"Alarmante",IF(D151&gt;=UmbralRegular,"Regular","Bueno")))</f>
        <v/>
      </c>
      <c r="J151" s="11" t="str">
        <f aca="true">IF(COUNTA(A151:F151)=0,"",IF(OR(A151="",B151="",C151="",D151=""),"Faltan datos",IF(G151="","AP no está en el catálogo",IF(A151&gt;TODAY()+1,"Fecha futura",IF(OR(D151&lt;0,D151&lt;&gt;INT(D151)),"Usuarios no válidos",IF(AND(E151&lt;&gt;"",OR(E151&lt;0,E151&gt;1)),"Utilización fuera de 0-100%",IF(COUNTIFS($A$5:$A$604,A151,$B$5:$B$604,B151,$C$5:$C$604,C151)&gt;1,"Fila duplicada","OK")))))))</f>
        <v/>
      </c>
      <c r="K151" s="9"/>
    </row>
    <row r="152" customFormat="false" ht="15" hidden="false" customHeight="false" outlineLevel="0" collapsed="false">
      <c r="A152" s="7"/>
      <c r="B152" s="8"/>
      <c r="C152" s="9"/>
      <c r="D152" s="20"/>
      <c r="E152" s="10"/>
      <c r="F152" s="9"/>
      <c r="G152" s="11" t="str">
        <f aca="false">IF(C152="","",IFERROR(INDEX(Catálogo!$B$5:$B$2000,MATCH(C152,Catálogo!$A$5:$A$2000,0)),""))</f>
        <v/>
      </c>
      <c r="H152" s="11" t="str">
        <f aca="false">IF(C152="","",IFERROR(INDEX(Catálogo!$C$5:$C$2000,MATCH(C152,Catálogo!$A$5:$A$2000,0)),""))</f>
        <v/>
      </c>
      <c r="I152" s="11" t="str">
        <f aca="false">IF(D152="","",IF(D152&gt;UmbralAlarma,"Alarmante",IF(D152&gt;=UmbralRegular,"Regular","Bueno")))</f>
        <v/>
      </c>
      <c r="J152" s="11" t="str">
        <f aca="true">IF(COUNTA(A152:F152)=0,"",IF(OR(A152="",B152="",C152="",D152=""),"Faltan datos",IF(G152="","AP no está en el catálogo",IF(A152&gt;TODAY()+1,"Fecha futura",IF(OR(D152&lt;0,D152&lt;&gt;INT(D152)),"Usuarios no válidos",IF(AND(E152&lt;&gt;"",OR(E152&lt;0,E152&gt;1)),"Utilización fuera de 0-100%",IF(COUNTIFS($A$5:$A$604,A152,$B$5:$B$604,B152,$C$5:$C$604,C152)&gt;1,"Fila duplicada","OK")))))))</f>
        <v/>
      </c>
      <c r="K152" s="9"/>
    </row>
    <row r="153" customFormat="false" ht="15" hidden="false" customHeight="false" outlineLevel="0" collapsed="false">
      <c r="A153" s="7"/>
      <c r="B153" s="8"/>
      <c r="C153" s="9"/>
      <c r="D153" s="20"/>
      <c r="E153" s="10"/>
      <c r="F153" s="9"/>
      <c r="G153" s="11" t="str">
        <f aca="false">IF(C153="","",IFERROR(INDEX(Catálogo!$B$5:$B$2000,MATCH(C153,Catálogo!$A$5:$A$2000,0)),""))</f>
        <v/>
      </c>
      <c r="H153" s="11" t="str">
        <f aca="false">IF(C153="","",IFERROR(INDEX(Catálogo!$C$5:$C$2000,MATCH(C153,Catálogo!$A$5:$A$2000,0)),""))</f>
        <v/>
      </c>
      <c r="I153" s="11" t="str">
        <f aca="false">IF(D153="","",IF(D153&gt;UmbralAlarma,"Alarmante",IF(D153&gt;=UmbralRegular,"Regular","Bueno")))</f>
        <v/>
      </c>
      <c r="J153" s="11" t="str">
        <f aca="true">IF(COUNTA(A153:F153)=0,"",IF(OR(A153="",B153="",C153="",D153=""),"Faltan datos",IF(G153="","AP no está en el catálogo",IF(A153&gt;TODAY()+1,"Fecha futura",IF(OR(D153&lt;0,D153&lt;&gt;INT(D153)),"Usuarios no válidos",IF(AND(E153&lt;&gt;"",OR(E153&lt;0,E153&gt;1)),"Utilización fuera de 0-100%",IF(COUNTIFS($A$5:$A$604,A153,$B$5:$B$604,B153,$C$5:$C$604,C153)&gt;1,"Fila duplicada","OK")))))))</f>
        <v/>
      </c>
      <c r="K153" s="9"/>
    </row>
    <row r="154" customFormat="false" ht="15" hidden="false" customHeight="false" outlineLevel="0" collapsed="false">
      <c r="A154" s="7"/>
      <c r="B154" s="8"/>
      <c r="C154" s="9"/>
      <c r="D154" s="20"/>
      <c r="E154" s="10"/>
      <c r="F154" s="9"/>
      <c r="G154" s="11" t="str">
        <f aca="false">IF(C154="","",IFERROR(INDEX(Catálogo!$B$5:$B$2000,MATCH(C154,Catálogo!$A$5:$A$2000,0)),""))</f>
        <v/>
      </c>
      <c r="H154" s="11" t="str">
        <f aca="false">IF(C154="","",IFERROR(INDEX(Catálogo!$C$5:$C$2000,MATCH(C154,Catálogo!$A$5:$A$2000,0)),""))</f>
        <v/>
      </c>
      <c r="I154" s="11" t="str">
        <f aca="false">IF(D154="","",IF(D154&gt;UmbralAlarma,"Alarmante",IF(D154&gt;=UmbralRegular,"Regular","Bueno")))</f>
        <v/>
      </c>
      <c r="J154" s="11" t="str">
        <f aca="true">IF(COUNTA(A154:F154)=0,"",IF(OR(A154="",B154="",C154="",D154=""),"Faltan datos",IF(G154="","AP no está en el catálogo",IF(A154&gt;TODAY()+1,"Fecha futura",IF(OR(D154&lt;0,D154&lt;&gt;INT(D154)),"Usuarios no válidos",IF(AND(E154&lt;&gt;"",OR(E154&lt;0,E154&gt;1)),"Utilización fuera de 0-100%",IF(COUNTIFS($A$5:$A$604,A154,$B$5:$B$604,B154,$C$5:$C$604,C154)&gt;1,"Fila duplicada","OK")))))))</f>
        <v/>
      </c>
      <c r="K154" s="9"/>
    </row>
    <row r="155" customFormat="false" ht="15" hidden="false" customHeight="false" outlineLevel="0" collapsed="false">
      <c r="A155" s="7"/>
      <c r="B155" s="8"/>
      <c r="C155" s="9"/>
      <c r="D155" s="20"/>
      <c r="E155" s="10"/>
      <c r="F155" s="9"/>
      <c r="G155" s="11" t="str">
        <f aca="false">IF(C155="","",IFERROR(INDEX(Catálogo!$B$5:$B$2000,MATCH(C155,Catálogo!$A$5:$A$2000,0)),""))</f>
        <v/>
      </c>
      <c r="H155" s="11" t="str">
        <f aca="false">IF(C155="","",IFERROR(INDEX(Catálogo!$C$5:$C$2000,MATCH(C155,Catálogo!$A$5:$A$2000,0)),""))</f>
        <v/>
      </c>
      <c r="I155" s="11" t="str">
        <f aca="false">IF(D155="","",IF(D155&gt;UmbralAlarma,"Alarmante",IF(D155&gt;=UmbralRegular,"Regular","Bueno")))</f>
        <v/>
      </c>
      <c r="J155" s="11" t="str">
        <f aca="true">IF(COUNTA(A155:F155)=0,"",IF(OR(A155="",B155="",C155="",D155=""),"Faltan datos",IF(G155="","AP no está en el catálogo",IF(A155&gt;TODAY()+1,"Fecha futura",IF(OR(D155&lt;0,D155&lt;&gt;INT(D155)),"Usuarios no válidos",IF(AND(E155&lt;&gt;"",OR(E155&lt;0,E155&gt;1)),"Utilización fuera de 0-100%",IF(COUNTIFS($A$5:$A$604,A155,$B$5:$B$604,B155,$C$5:$C$604,C155)&gt;1,"Fila duplicada","OK")))))))</f>
        <v/>
      </c>
      <c r="K155" s="9"/>
    </row>
    <row r="156" customFormat="false" ht="15" hidden="false" customHeight="false" outlineLevel="0" collapsed="false">
      <c r="A156" s="7"/>
      <c r="B156" s="8"/>
      <c r="C156" s="9"/>
      <c r="D156" s="20"/>
      <c r="E156" s="10"/>
      <c r="F156" s="9"/>
      <c r="G156" s="11" t="str">
        <f aca="false">IF(C156="","",IFERROR(INDEX(Catálogo!$B$5:$B$2000,MATCH(C156,Catálogo!$A$5:$A$2000,0)),""))</f>
        <v/>
      </c>
      <c r="H156" s="11" t="str">
        <f aca="false">IF(C156="","",IFERROR(INDEX(Catálogo!$C$5:$C$2000,MATCH(C156,Catálogo!$A$5:$A$2000,0)),""))</f>
        <v/>
      </c>
      <c r="I156" s="11" t="str">
        <f aca="false">IF(D156="","",IF(D156&gt;UmbralAlarma,"Alarmante",IF(D156&gt;=UmbralRegular,"Regular","Bueno")))</f>
        <v/>
      </c>
      <c r="J156" s="11" t="str">
        <f aca="true">IF(COUNTA(A156:F156)=0,"",IF(OR(A156="",B156="",C156="",D156=""),"Faltan datos",IF(G156="","AP no está en el catálogo",IF(A156&gt;TODAY()+1,"Fecha futura",IF(OR(D156&lt;0,D156&lt;&gt;INT(D156)),"Usuarios no válidos",IF(AND(E156&lt;&gt;"",OR(E156&lt;0,E156&gt;1)),"Utilización fuera de 0-100%",IF(COUNTIFS($A$5:$A$604,A156,$B$5:$B$604,B156,$C$5:$C$604,C156)&gt;1,"Fila duplicada","OK")))))))</f>
        <v/>
      </c>
      <c r="K156" s="9"/>
    </row>
    <row r="157" customFormat="false" ht="15" hidden="false" customHeight="false" outlineLevel="0" collapsed="false">
      <c r="A157" s="7"/>
      <c r="B157" s="8"/>
      <c r="C157" s="9"/>
      <c r="D157" s="20"/>
      <c r="E157" s="10"/>
      <c r="F157" s="9"/>
      <c r="G157" s="11" t="str">
        <f aca="false">IF(C157="","",IFERROR(INDEX(Catálogo!$B$5:$B$2000,MATCH(C157,Catálogo!$A$5:$A$2000,0)),""))</f>
        <v/>
      </c>
      <c r="H157" s="11" t="str">
        <f aca="false">IF(C157="","",IFERROR(INDEX(Catálogo!$C$5:$C$2000,MATCH(C157,Catálogo!$A$5:$A$2000,0)),""))</f>
        <v/>
      </c>
      <c r="I157" s="11" t="str">
        <f aca="false">IF(D157="","",IF(D157&gt;UmbralAlarma,"Alarmante",IF(D157&gt;=UmbralRegular,"Regular","Bueno")))</f>
        <v/>
      </c>
      <c r="J157" s="11" t="str">
        <f aca="true">IF(COUNTA(A157:F157)=0,"",IF(OR(A157="",B157="",C157="",D157=""),"Faltan datos",IF(G157="","AP no está en el catálogo",IF(A157&gt;TODAY()+1,"Fecha futura",IF(OR(D157&lt;0,D157&lt;&gt;INT(D157)),"Usuarios no válidos",IF(AND(E157&lt;&gt;"",OR(E157&lt;0,E157&gt;1)),"Utilización fuera de 0-100%",IF(COUNTIFS($A$5:$A$604,A157,$B$5:$B$604,B157,$C$5:$C$604,C157)&gt;1,"Fila duplicada","OK")))))))</f>
        <v/>
      </c>
      <c r="K157" s="9"/>
    </row>
    <row r="158" customFormat="false" ht="15" hidden="false" customHeight="false" outlineLevel="0" collapsed="false">
      <c r="A158" s="7"/>
      <c r="B158" s="8"/>
      <c r="C158" s="9"/>
      <c r="D158" s="20"/>
      <c r="E158" s="10"/>
      <c r="F158" s="9"/>
      <c r="G158" s="11" t="str">
        <f aca="false">IF(C158="","",IFERROR(INDEX(Catálogo!$B$5:$B$2000,MATCH(C158,Catálogo!$A$5:$A$2000,0)),""))</f>
        <v/>
      </c>
      <c r="H158" s="11" t="str">
        <f aca="false">IF(C158="","",IFERROR(INDEX(Catálogo!$C$5:$C$2000,MATCH(C158,Catálogo!$A$5:$A$2000,0)),""))</f>
        <v/>
      </c>
      <c r="I158" s="11" t="str">
        <f aca="false">IF(D158="","",IF(D158&gt;UmbralAlarma,"Alarmante",IF(D158&gt;=UmbralRegular,"Regular","Bueno")))</f>
        <v/>
      </c>
      <c r="J158" s="11" t="str">
        <f aca="true">IF(COUNTA(A158:F158)=0,"",IF(OR(A158="",B158="",C158="",D158=""),"Faltan datos",IF(G158="","AP no está en el catálogo",IF(A158&gt;TODAY()+1,"Fecha futura",IF(OR(D158&lt;0,D158&lt;&gt;INT(D158)),"Usuarios no válidos",IF(AND(E158&lt;&gt;"",OR(E158&lt;0,E158&gt;1)),"Utilización fuera de 0-100%",IF(COUNTIFS($A$5:$A$604,A158,$B$5:$B$604,B158,$C$5:$C$604,C158)&gt;1,"Fila duplicada","OK")))))))</f>
        <v/>
      </c>
      <c r="K158" s="9"/>
    </row>
    <row r="159" customFormat="false" ht="15" hidden="false" customHeight="false" outlineLevel="0" collapsed="false">
      <c r="A159" s="7"/>
      <c r="B159" s="8"/>
      <c r="C159" s="9"/>
      <c r="D159" s="20"/>
      <c r="E159" s="10"/>
      <c r="F159" s="9"/>
      <c r="G159" s="11" t="str">
        <f aca="false">IF(C159="","",IFERROR(INDEX(Catálogo!$B$5:$B$2000,MATCH(C159,Catálogo!$A$5:$A$2000,0)),""))</f>
        <v/>
      </c>
      <c r="H159" s="11" t="str">
        <f aca="false">IF(C159="","",IFERROR(INDEX(Catálogo!$C$5:$C$2000,MATCH(C159,Catálogo!$A$5:$A$2000,0)),""))</f>
        <v/>
      </c>
      <c r="I159" s="11" t="str">
        <f aca="false">IF(D159="","",IF(D159&gt;UmbralAlarma,"Alarmante",IF(D159&gt;=UmbralRegular,"Regular","Bueno")))</f>
        <v/>
      </c>
      <c r="J159" s="11" t="str">
        <f aca="true">IF(COUNTA(A159:F159)=0,"",IF(OR(A159="",B159="",C159="",D159=""),"Faltan datos",IF(G159="","AP no está en el catálogo",IF(A159&gt;TODAY()+1,"Fecha futura",IF(OR(D159&lt;0,D159&lt;&gt;INT(D159)),"Usuarios no válidos",IF(AND(E159&lt;&gt;"",OR(E159&lt;0,E159&gt;1)),"Utilización fuera de 0-100%",IF(COUNTIFS($A$5:$A$604,A159,$B$5:$B$604,B159,$C$5:$C$604,C159)&gt;1,"Fila duplicada","OK")))))))</f>
        <v/>
      </c>
      <c r="K159" s="9"/>
    </row>
    <row r="160" customFormat="false" ht="15" hidden="false" customHeight="false" outlineLevel="0" collapsed="false">
      <c r="A160" s="7"/>
      <c r="B160" s="8"/>
      <c r="C160" s="9"/>
      <c r="D160" s="20"/>
      <c r="E160" s="10"/>
      <c r="F160" s="9"/>
      <c r="G160" s="11" t="str">
        <f aca="false">IF(C160="","",IFERROR(INDEX(Catálogo!$B$5:$B$2000,MATCH(C160,Catálogo!$A$5:$A$2000,0)),""))</f>
        <v/>
      </c>
      <c r="H160" s="11" t="str">
        <f aca="false">IF(C160="","",IFERROR(INDEX(Catálogo!$C$5:$C$2000,MATCH(C160,Catálogo!$A$5:$A$2000,0)),""))</f>
        <v/>
      </c>
      <c r="I160" s="11" t="str">
        <f aca="false">IF(D160="","",IF(D160&gt;UmbralAlarma,"Alarmante",IF(D160&gt;=UmbralRegular,"Regular","Bueno")))</f>
        <v/>
      </c>
      <c r="J160" s="11" t="str">
        <f aca="true">IF(COUNTA(A160:F160)=0,"",IF(OR(A160="",B160="",C160="",D160=""),"Faltan datos",IF(G160="","AP no está en el catálogo",IF(A160&gt;TODAY()+1,"Fecha futura",IF(OR(D160&lt;0,D160&lt;&gt;INT(D160)),"Usuarios no válidos",IF(AND(E160&lt;&gt;"",OR(E160&lt;0,E160&gt;1)),"Utilización fuera de 0-100%",IF(COUNTIFS($A$5:$A$604,A160,$B$5:$B$604,B160,$C$5:$C$604,C160)&gt;1,"Fila duplicada","OK")))))))</f>
        <v/>
      </c>
      <c r="K160" s="9"/>
    </row>
    <row r="161" customFormat="false" ht="15" hidden="false" customHeight="false" outlineLevel="0" collapsed="false">
      <c r="A161" s="7"/>
      <c r="B161" s="8"/>
      <c r="C161" s="9"/>
      <c r="D161" s="20"/>
      <c r="E161" s="10"/>
      <c r="F161" s="9"/>
      <c r="G161" s="11" t="str">
        <f aca="false">IF(C161="","",IFERROR(INDEX(Catálogo!$B$5:$B$2000,MATCH(C161,Catálogo!$A$5:$A$2000,0)),""))</f>
        <v/>
      </c>
      <c r="H161" s="11" t="str">
        <f aca="false">IF(C161="","",IFERROR(INDEX(Catálogo!$C$5:$C$2000,MATCH(C161,Catálogo!$A$5:$A$2000,0)),""))</f>
        <v/>
      </c>
      <c r="I161" s="11" t="str">
        <f aca="false">IF(D161="","",IF(D161&gt;UmbralAlarma,"Alarmante",IF(D161&gt;=UmbralRegular,"Regular","Bueno")))</f>
        <v/>
      </c>
      <c r="J161" s="11" t="str">
        <f aca="true">IF(COUNTA(A161:F161)=0,"",IF(OR(A161="",B161="",C161="",D161=""),"Faltan datos",IF(G161="","AP no está en el catálogo",IF(A161&gt;TODAY()+1,"Fecha futura",IF(OR(D161&lt;0,D161&lt;&gt;INT(D161)),"Usuarios no válidos",IF(AND(E161&lt;&gt;"",OR(E161&lt;0,E161&gt;1)),"Utilización fuera de 0-100%",IF(COUNTIFS($A$5:$A$604,A161,$B$5:$B$604,B161,$C$5:$C$604,C161)&gt;1,"Fila duplicada","OK")))))))</f>
        <v/>
      </c>
      <c r="K161" s="9"/>
    </row>
    <row r="162" customFormat="false" ht="15" hidden="false" customHeight="false" outlineLevel="0" collapsed="false">
      <c r="A162" s="7"/>
      <c r="B162" s="8"/>
      <c r="C162" s="9"/>
      <c r="D162" s="20"/>
      <c r="E162" s="10"/>
      <c r="F162" s="9"/>
      <c r="G162" s="11" t="str">
        <f aca="false">IF(C162="","",IFERROR(INDEX(Catálogo!$B$5:$B$2000,MATCH(C162,Catálogo!$A$5:$A$2000,0)),""))</f>
        <v/>
      </c>
      <c r="H162" s="11" t="str">
        <f aca="false">IF(C162="","",IFERROR(INDEX(Catálogo!$C$5:$C$2000,MATCH(C162,Catálogo!$A$5:$A$2000,0)),""))</f>
        <v/>
      </c>
      <c r="I162" s="11" t="str">
        <f aca="false">IF(D162="","",IF(D162&gt;UmbralAlarma,"Alarmante",IF(D162&gt;=UmbralRegular,"Regular","Bueno")))</f>
        <v/>
      </c>
      <c r="J162" s="11" t="str">
        <f aca="true">IF(COUNTA(A162:F162)=0,"",IF(OR(A162="",B162="",C162="",D162=""),"Faltan datos",IF(G162="","AP no está en el catálogo",IF(A162&gt;TODAY()+1,"Fecha futura",IF(OR(D162&lt;0,D162&lt;&gt;INT(D162)),"Usuarios no válidos",IF(AND(E162&lt;&gt;"",OR(E162&lt;0,E162&gt;1)),"Utilización fuera de 0-100%",IF(COUNTIFS($A$5:$A$604,A162,$B$5:$B$604,B162,$C$5:$C$604,C162)&gt;1,"Fila duplicada","OK")))))))</f>
        <v/>
      </c>
      <c r="K162" s="9"/>
    </row>
    <row r="163" customFormat="false" ht="15" hidden="false" customHeight="false" outlineLevel="0" collapsed="false">
      <c r="A163" s="7"/>
      <c r="B163" s="8"/>
      <c r="C163" s="9"/>
      <c r="D163" s="20"/>
      <c r="E163" s="10"/>
      <c r="F163" s="9"/>
      <c r="G163" s="11" t="str">
        <f aca="false">IF(C163="","",IFERROR(INDEX(Catálogo!$B$5:$B$2000,MATCH(C163,Catálogo!$A$5:$A$2000,0)),""))</f>
        <v/>
      </c>
      <c r="H163" s="11" t="str">
        <f aca="false">IF(C163="","",IFERROR(INDEX(Catálogo!$C$5:$C$2000,MATCH(C163,Catálogo!$A$5:$A$2000,0)),""))</f>
        <v/>
      </c>
      <c r="I163" s="11" t="str">
        <f aca="false">IF(D163="","",IF(D163&gt;UmbralAlarma,"Alarmante",IF(D163&gt;=UmbralRegular,"Regular","Bueno")))</f>
        <v/>
      </c>
      <c r="J163" s="11" t="str">
        <f aca="true">IF(COUNTA(A163:F163)=0,"",IF(OR(A163="",B163="",C163="",D163=""),"Faltan datos",IF(G163="","AP no está en el catálogo",IF(A163&gt;TODAY()+1,"Fecha futura",IF(OR(D163&lt;0,D163&lt;&gt;INT(D163)),"Usuarios no válidos",IF(AND(E163&lt;&gt;"",OR(E163&lt;0,E163&gt;1)),"Utilización fuera de 0-100%",IF(COUNTIFS($A$5:$A$604,A163,$B$5:$B$604,B163,$C$5:$C$604,C163)&gt;1,"Fila duplicada","OK")))))))</f>
        <v/>
      </c>
      <c r="K163" s="9"/>
    </row>
    <row r="164" customFormat="false" ht="15" hidden="false" customHeight="false" outlineLevel="0" collapsed="false">
      <c r="A164" s="7"/>
      <c r="B164" s="8"/>
      <c r="C164" s="9"/>
      <c r="D164" s="20"/>
      <c r="E164" s="10"/>
      <c r="F164" s="9"/>
      <c r="G164" s="11" t="str">
        <f aca="false">IF(C164="","",IFERROR(INDEX(Catálogo!$B$5:$B$2000,MATCH(C164,Catálogo!$A$5:$A$2000,0)),""))</f>
        <v/>
      </c>
      <c r="H164" s="11" t="str">
        <f aca="false">IF(C164="","",IFERROR(INDEX(Catálogo!$C$5:$C$2000,MATCH(C164,Catálogo!$A$5:$A$2000,0)),""))</f>
        <v/>
      </c>
      <c r="I164" s="11" t="str">
        <f aca="false">IF(D164="","",IF(D164&gt;UmbralAlarma,"Alarmante",IF(D164&gt;=UmbralRegular,"Regular","Bueno")))</f>
        <v/>
      </c>
      <c r="J164" s="11" t="str">
        <f aca="true">IF(COUNTA(A164:F164)=0,"",IF(OR(A164="",B164="",C164="",D164=""),"Faltan datos",IF(G164="","AP no está en el catálogo",IF(A164&gt;TODAY()+1,"Fecha futura",IF(OR(D164&lt;0,D164&lt;&gt;INT(D164)),"Usuarios no válidos",IF(AND(E164&lt;&gt;"",OR(E164&lt;0,E164&gt;1)),"Utilización fuera de 0-100%",IF(COUNTIFS($A$5:$A$604,A164,$B$5:$B$604,B164,$C$5:$C$604,C164)&gt;1,"Fila duplicada","OK")))))))</f>
        <v/>
      </c>
      <c r="K164" s="9"/>
    </row>
    <row r="165" customFormat="false" ht="15" hidden="false" customHeight="false" outlineLevel="0" collapsed="false">
      <c r="A165" s="7"/>
      <c r="B165" s="8"/>
      <c r="C165" s="9"/>
      <c r="D165" s="20"/>
      <c r="E165" s="10"/>
      <c r="F165" s="9"/>
      <c r="G165" s="11" t="str">
        <f aca="false">IF(C165="","",IFERROR(INDEX(Catálogo!$B$5:$B$2000,MATCH(C165,Catálogo!$A$5:$A$2000,0)),""))</f>
        <v/>
      </c>
      <c r="H165" s="11" t="str">
        <f aca="false">IF(C165="","",IFERROR(INDEX(Catálogo!$C$5:$C$2000,MATCH(C165,Catálogo!$A$5:$A$2000,0)),""))</f>
        <v/>
      </c>
      <c r="I165" s="11" t="str">
        <f aca="false">IF(D165="","",IF(D165&gt;UmbralAlarma,"Alarmante",IF(D165&gt;=UmbralRegular,"Regular","Bueno")))</f>
        <v/>
      </c>
      <c r="J165" s="11" t="str">
        <f aca="true">IF(COUNTA(A165:F165)=0,"",IF(OR(A165="",B165="",C165="",D165=""),"Faltan datos",IF(G165="","AP no está en el catálogo",IF(A165&gt;TODAY()+1,"Fecha futura",IF(OR(D165&lt;0,D165&lt;&gt;INT(D165)),"Usuarios no válidos",IF(AND(E165&lt;&gt;"",OR(E165&lt;0,E165&gt;1)),"Utilización fuera de 0-100%",IF(COUNTIFS($A$5:$A$604,A165,$B$5:$B$604,B165,$C$5:$C$604,C165)&gt;1,"Fila duplicada","OK")))))))</f>
        <v/>
      </c>
      <c r="K165" s="9"/>
    </row>
    <row r="166" customFormat="false" ht="15" hidden="false" customHeight="false" outlineLevel="0" collapsed="false">
      <c r="A166" s="7"/>
      <c r="B166" s="8"/>
      <c r="C166" s="9"/>
      <c r="D166" s="20"/>
      <c r="E166" s="10"/>
      <c r="F166" s="9"/>
      <c r="G166" s="11" t="str">
        <f aca="false">IF(C166="","",IFERROR(INDEX(Catálogo!$B$5:$B$2000,MATCH(C166,Catálogo!$A$5:$A$2000,0)),""))</f>
        <v/>
      </c>
      <c r="H166" s="11" t="str">
        <f aca="false">IF(C166="","",IFERROR(INDEX(Catálogo!$C$5:$C$2000,MATCH(C166,Catálogo!$A$5:$A$2000,0)),""))</f>
        <v/>
      </c>
      <c r="I166" s="11" t="str">
        <f aca="false">IF(D166="","",IF(D166&gt;UmbralAlarma,"Alarmante",IF(D166&gt;=UmbralRegular,"Regular","Bueno")))</f>
        <v/>
      </c>
      <c r="J166" s="11" t="str">
        <f aca="true">IF(COUNTA(A166:F166)=0,"",IF(OR(A166="",B166="",C166="",D166=""),"Faltan datos",IF(G166="","AP no está en el catálogo",IF(A166&gt;TODAY()+1,"Fecha futura",IF(OR(D166&lt;0,D166&lt;&gt;INT(D166)),"Usuarios no válidos",IF(AND(E166&lt;&gt;"",OR(E166&lt;0,E166&gt;1)),"Utilización fuera de 0-100%",IF(COUNTIFS($A$5:$A$604,A166,$B$5:$B$604,B166,$C$5:$C$604,C166)&gt;1,"Fila duplicada","OK")))))))</f>
        <v/>
      </c>
      <c r="K166" s="9"/>
    </row>
    <row r="167" customFormat="false" ht="15" hidden="false" customHeight="false" outlineLevel="0" collapsed="false">
      <c r="A167" s="7"/>
      <c r="B167" s="8"/>
      <c r="C167" s="9"/>
      <c r="D167" s="20"/>
      <c r="E167" s="10"/>
      <c r="F167" s="9"/>
      <c r="G167" s="11" t="str">
        <f aca="false">IF(C167="","",IFERROR(INDEX(Catálogo!$B$5:$B$2000,MATCH(C167,Catálogo!$A$5:$A$2000,0)),""))</f>
        <v/>
      </c>
      <c r="H167" s="11" t="str">
        <f aca="false">IF(C167="","",IFERROR(INDEX(Catálogo!$C$5:$C$2000,MATCH(C167,Catálogo!$A$5:$A$2000,0)),""))</f>
        <v/>
      </c>
      <c r="I167" s="11" t="str">
        <f aca="false">IF(D167="","",IF(D167&gt;UmbralAlarma,"Alarmante",IF(D167&gt;=UmbralRegular,"Regular","Bueno")))</f>
        <v/>
      </c>
      <c r="J167" s="11" t="str">
        <f aca="true">IF(COUNTA(A167:F167)=0,"",IF(OR(A167="",B167="",C167="",D167=""),"Faltan datos",IF(G167="","AP no está en el catálogo",IF(A167&gt;TODAY()+1,"Fecha futura",IF(OR(D167&lt;0,D167&lt;&gt;INT(D167)),"Usuarios no válidos",IF(AND(E167&lt;&gt;"",OR(E167&lt;0,E167&gt;1)),"Utilización fuera de 0-100%",IF(COUNTIFS($A$5:$A$604,A167,$B$5:$B$604,B167,$C$5:$C$604,C167)&gt;1,"Fila duplicada","OK")))))))</f>
        <v/>
      </c>
      <c r="K167" s="9"/>
    </row>
    <row r="168" customFormat="false" ht="15" hidden="false" customHeight="false" outlineLevel="0" collapsed="false">
      <c r="A168" s="7"/>
      <c r="B168" s="8"/>
      <c r="C168" s="9"/>
      <c r="D168" s="20"/>
      <c r="E168" s="10"/>
      <c r="F168" s="9"/>
      <c r="G168" s="11" t="str">
        <f aca="false">IF(C168="","",IFERROR(INDEX(Catálogo!$B$5:$B$2000,MATCH(C168,Catálogo!$A$5:$A$2000,0)),""))</f>
        <v/>
      </c>
      <c r="H168" s="11" t="str">
        <f aca="false">IF(C168="","",IFERROR(INDEX(Catálogo!$C$5:$C$2000,MATCH(C168,Catálogo!$A$5:$A$2000,0)),""))</f>
        <v/>
      </c>
      <c r="I168" s="11" t="str">
        <f aca="false">IF(D168="","",IF(D168&gt;UmbralAlarma,"Alarmante",IF(D168&gt;=UmbralRegular,"Regular","Bueno")))</f>
        <v/>
      </c>
      <c r="J168" s="11" t="str">
        <f aca="true">IF(COUNTA(A168:F168)=0,"",IF(OR(A168="",B168="",C168="",D168=""),"Faltan datos",IF(G168="","AP no está en el catálogo",IF(A168&gt;TODAY()+1,"Fecha futura",IF(OR(D168&lt;0,D168&lt;&gt;INT(D168)),"Usuarios no válidos",IF(AND(E168&lt;&gt;"",OR(E168&lt;0,E168&gt;1)),"Utilización fuera de 0-100%",IF(COUNTIFS($A$5:$A$604,A168,$B$5:$B$604,B168,$C$5:$C$604,C168)&gt;1,"Fila duplicada","OK")))))))</f>
        <v/>
      </c>
      <c r="K168" s="9"/>
    </row>
    <row r="169" customFormat="false" ht="15" hidden="false" customHeight="false" outlineLevel="0" collapsed="false">
      <c r="A169" s="7"/>
      <c r="B169" s="8"/>
      <c r="C169" s="9"/>
      <c r="D169" s="20"/>
      <c r="E169" s="10"/>
      <c r="F169" s="9"/>
      <c r="G169" s="11" t="str">
        <f aca="false">IF(C169="","",IFERROR(INDEX(Catálogo!$B$5:$B$2000,MATCH(C169,Catálogo!$A$5:$A$2000,0)),""))</f>
        <v/>
      </c>
      <c r="H169" s="11" t="str">
        <f aca="false">IF(C169="","",IFERROR(INDEX(Catálogo!$C$5:$C$2000,MATCH(C169,Catálogo!$A$5:$A$2000,0)),""))</f>
        <v/>
      </c>
      <c r="I169" s="11" t="str">
        <f aca="false">IF(D169="","",IF(D169&gt;UmbralAlarma,"Alarmante",IF(D169&gt;=UmbralRegular,"Regular","Bueno")))</f>
        <v/>
      </c>
      <c r="J169" s="11" t="str">
        <f aca="true">IF(COUNTA(A169:F169)=0,"",IF(OR(A169="",B169="",C169="",D169=""),"Faltan datos",IF(G169="","AP no está en el catálogo",IF(A169&gt;TODAY()+1,"Fecha futura",IF(OR(D169&lt;0,D169&lt;&gt;INT(D169)),"Usuarios no válidos",IF(AND(E169&lt;&gt;"",OR(E169&lt;0,E169&gt;1)),"Utilización fuera de 0-100%",IF(COUNTIFS($A$5:$A$604,A169,$B$5:$B$604,B169,$C$5:$C$604,C169)&gt;1,"Fila duplicada","OK")))))))</f>
        <v/>
      </c>
      <c r="K169" s="9"/>
    </row>
    <row r="170" customFormat="false" ht="15" hidden="false" customHeight="false" outlineLevel="0" collapsed="false">
      <c r="A170" s="7"/>
      <c r="B170" s="8"/>
      <c r="C170" s="9"/>
      <c r="D170" s="20"/>
      <c r="E170" s="10"/>
      <c r="F170" s="9"/>
      <c r="G170" s="11" t="str">
        <f aca="false">IF(C170="","",IFERROR(INDEX(Catálogo!$B$5:$B$2000,MATCH(C170,Catálogo!$A$5:$A$2000,0)),""))</f>
        <v/>
      </c>
      <c r="H170" s="11" t="str">
        <f aca="false">IF(C170="","",IFERROR(INDEX(Catálogo!$C$5:$C$2000,MATCH(C170,Catálogo!$A$5:$A$2000,0)),""))</f>
        <v/>
      </c>
      <c r="I170" s="11" t="str">
        <f aca="false">IF(D170="","",IF(D170&gt;UmbralAlarma,"Alarmante",IF(D170&gt;=UmbralRegular,"Regular","Bueno")))</f>
        <v/>
      </c>
      <c r="J170" s="11" t="str">
        <f aca="true">IF(COUNTA(A170:F170)=0,"",IF(OR(A170="",B170="",C170="",D170=""),"Faltan datos",IF(G170="","AP no está en el catálogo",IF(A170&gt;TODAY()+1,"Fecha futura",IF(OR(D170&lt;0,D170&lt;&gt;INT(D170)),"Usuarios no válidos",IF(AND(E170&lt;&gt;"",OR(E170&lt;0,E170&gt;1)),"Utilización fuera de 0-100%",IF(COUNTIFS($A$5:$A$604,A170,$B$5:$B$604,B170,$C$5:$C$604,C170)&gt;1,"Fila duplicada","OK")))))))</f>
        <v/>
      </c>
      <c r="K170" s="9"/>
    </row>
    <row r="171" customFormat="false" ht="15" hidden="false" customHeight="false" outlineLevel="0" collapsed="false">
      <c r="A171" s="7"/>
      <c r="B171" s="8"/>
      <c r="C171" s="9"/>
      <c r="D171" s="20"/>
      <c r="E171" s="10"/>
      <c r="F171" s="9"/>
      <c r="G171" s="11" t="str">
        <f aca="false">IF(C171="","",IFERROR(INDEX(Catálogo!$B$5:$B$2000,MATCH(C171,Catálogo!$A$5:$A$2000,0)),""))</f>
        <v/>
      </c>
      <c r="H171" s="11" t="str">
        <f aca="false">IF(C171="","",IFERROR(INDEX(Catálogo!$C$5:$C$2000,MATCH(C171,Catálogo!$A$5:$A$2000,0)),""))</f>
        <v/>
      </c>
      <c r="I171" s="11" t="str">
        <f aca="false">IF(D171="","",IF(D171&gt;UmbralAlarma,"Alarmante",IF(D171&gt;=UmbralRegular,"Regular","Bueno")))</f>
        <v/>
      </c>
      <c r="J171" s="11" t="str">
        <f aca="true">IF(COUNTA(A171:F171)=0,"",IF(OR(A171="",B171="",C171="",D171=""),"Faltan datos",IF(G171="","AP no está en el catálogo",IF(A171&gt;TODAY()+1,"Fecha futura",IF(OR(D171&lt;0,D171&lt;&gt;INT(D171)),"Usuarios no válidos",IF(AND(E171&lt;&gt;"",OR(E171&lt;0,E171&gt;1)),"Utilización fuera de 0-100%",IF(COUNTIFS($A$5:$A$604,A171,$B$5:$B$604,B171,$C$5:$C$604,C171)&gt;1,"Fila duplicada","OK")))))))</f>
        <v/>
      </c>
      <c r="K171" s="9"/>
    </row>
    <row r="172" customFormat="false" ht="15" hidden="false" customHeight="false" outlineLevel="0" collapsed="false">
      <c r="A172" s="7"/>
      <c r="B172" s="8"/>
      <c r="C172" s="9"/>
      <c r="D172" s="20"/>
      <c r="E172" s="10"/>
      <c r="F172" s="9"/>
      <c r="G172" s="11" t="str">
        <f aca="false">IF(C172="","",IFERROR(INDEX(Catálogo!$B$5:$B$2000,MATCH(C172,Catálogo!$A$5:$A$2000,0)),""))</f>
        <v/>
      </c>
      <c r="H172" s="11" t="str">
        <f aca="false">IF(C172="","",IFERROR(INDEX(Catálogo!$C$5:$C$2000,MATCH(C172,Catálogo!$A$5:$A$2000,0)),""))</f>
        <v/>
      </c>
      <c r="I172" s="11" t="str">
        <f aca="false">IF(D172="","",IF(D172&gt;UmbralAlarma,"Alarmante",IF(D172&gt;=UmbralRegular,"Regular","Bueno")))</f>
        <v/>
      </c>
      <c r="J172" s="11" t="str">
        <f aca="true">IF(COUNTA(A172:F172)=0,"",IF(OR(A172="",B172="",C172="",D172=""),"Faltan datos",IF(G172="","AP no está en el catálogo",IF(A172&gt;TODAY()+1,"Fecha futura",IF(OR(D172&lt;0,D172&lt;&gt;INT(D172)),"Usuarios no válidos",IF(AND(E172&lt;&gt;"",OR(E172&lt;0,E172&gt;1)),"Utilización fuera de 0-100%",IF(COUNTIFS($A$5:$A$604,A172,$B$5:$B$604,B172,$C$5:$C$604,C172)&gt;1,"Fila duplicada","OK")))))))</f>
        <v/>
      </c>
      <c r="K172" s="9"/>
    </row>
    <row r="173" customFormat="false" ht="15" hidden="false" customHeight="false" outlineLevel="0" collapsed="false">
      <c r="A173" s="7"/>
      <c r="B173" s="8"/>
      <c r="C173" s="9"/>
      <c r="D173" s="20"/>
      <c r="E173" s="10"/>
      <c r="F173" s="9"/>
      <c r="G173" s="11" t="str">
        <f aca="false">IF(C173="","",IFERROR(INDEX(Catálogo!$B$5:$B$2000,MATCH(C173,Catálogo!$A$5:$A$2000,0)),""))</f>
        <v/>
      </c>
      <c r="H173" s="11" t="str">
        <f aca="false">IF(C173="","",IFERROR(INDEX(Catálogo!$C$5:$C$2000,MATCH(C173,Catálogo!$A$5:$A$2000,0)),""))</f>
        <v/>
      </c>
      <c r="I173" s="11" t="str">
        <f aca="false">IF(D173="","",IF(D173&gt;UmbralAlarma,"Alarmante",IF(D173&gt;=UmbralRegular,"Regular","Bueno")))</f>
        <v/>
      </c>
      <c r="J173" s="11" t="str">
        <f aca="true">IF(COUNTA(A173:F173)=0,"",IF(OR(A173="",B173="",C173="",D173=""),"Faltan datos",IF(G173="","AP no está en el catálogo",IF(A173&gt;TODAY()+1,"Fecha futura",IF(OR(D173&lt;0,D173&lt;&gt;INT(D173)),"Usuarios no válidos",IF(AND(E173&lt;&gt;"",OR(E173&lt;0,E173&gt;1)),"Utilización fuera de 0-100%",IF(COUNTIFS($A$5:$A$604,A173,$B$5:$B$604,B173,$C$5:$C$604,C173)&gt;1,"Fila duplicada","OK")))))))</f>
        <v/>
      </c>
      <c r="K173" s="9"/>
    </row>
    <row r="174" customFormat="false" ht="15" hidden="false" customHeight="false" outlineLevel="0" collapsed="false">
      <c r="A174" s="7"/>
      <c r="B174" s="8"/>
      <c r="C174" s="9"/>
      <c r="D174" s="20"/>
      <c r="E174" s="10"/>
      <c r="F174" s="9"/>
      <c r="G174" s="11" t="str">
        <f aca="false">IF(C174="","",IFERROR(INDEX(Catálogo!$B$5:$B$2000,MATCH(C174,Catálogo!$A$5:$A$2000,0)),""))</f>
        <v/>
      </c>
      <c r="H174" s="11" t="str">
        <f aca="false">IF(C174="","",IFERROR(INDEX(Catálogo!$C$5:$C$2000,MATCH(C174,Catálogo!$A$5:$A$2000,0)),""))</f>
        <v/>
      </c>
      <c r="I174" s="11" t="str">
        <f aca="false">IF(D174="","",IF(D174&gt;UmbralAlarma,"Alarmante",IF(D174&gt;=UmbralRegular,"Regular","Bueno")))</f>
        <v/>
      </c>
      <c r="J174" s="11" t="str">
        <f aca="true">IF(COUNTA(A174:F174)=0,"",IF(OR(A174="",B174="",C174="",D174=""),"Faltan datos",IF(G174="","AP no está en el catálogo",IF(A174&gt;TODAY()+1,"Fecha futura",IF(OR(D174&lt;0,D174&lt;&gt;INT(D174)),"Usuarios no válidos",IF(AND(E174&lt;&gt;"",OR(E174&lt;0,E174&gt;1)),"Utilización fuera de 0-100%",IF(COUNTIFS($A$5:$A$604,A174,$B$5:$B$604,B174,$C$5:$C$604,C174)&gt;1,"Fila duplicada","OK")))))))</f>
        <v/>
      </c>
      <c r="K174" s="9"/>
    </row>
    <row r="175" customFormat="false" ht="15" hidden="false" customHeight="false" outlineLevel="0" collapsed="false">
      <c r="A175" s="7"/>
      <c r="B175" s="8"/>
      <c r="C175" s="9"/>
      <c r="D175" s="20"/>
      <c r="E175" s="10"/>
      <c r="F175" s="9"/>
      <c r="G175" s="11" t="str">
        <f aca="false">IF(C175="","",IFERROR(INDEX(Catálogo!$B$5:$B$2000,MATCH(C175,Catálogo!$A$5:$A$2000,0)),""))</f>
        <v/>
      </c>
      <c r="H175" s="11" t="str">
        <f aca="false">IF(C175="","",IFERROR(INDEX(Catálogo!$C$5:$C$2000,MATCH(C175,Catálogo!$A$5:$A$2000,0)),""))</f>
        <v/>
      </c>
      <c r="I175" s="11" t="str">
        <f aca="false">IF(D175="","",IF(D175&gt;UmbralAlarma,"Alarmante",IF(D175&gt;=UmbralRegular,"Regular","Bueno")))</f>
        <v/>
      </c>
      <c r="J175" s="11" t="str">
        <f aca="true">IF(COUNTA(A175:F175)=0,"",IF(OR(A175="",B175="",C175="",D175=""),"Faltan datos",IF(G175="","AP no está en el catálogo",IF(A175&gt;TODAY()+1,"Fecha futura",IF(OR(D175&lt;0,D175&lt;&gt;INT(D175)),"Usuarios no válidos",IF(AND(E175&lt;&gt;"",OR(E175&lt;0,E175&gt;1)),"Utilización fuera de 0-100%",IF(COUNTIFS($A$5:$A$604,A175,$B$5:$B$604,B175,$C$5:$C$604,C175)&gt;1,"Fila duplicada","OK")))))))</f>
        <v/>
      </c>
      <c r="K175" s="9"/>
    </row>
    <row r="176" customFormat="false" ht="15" hidden="false" customHeight="false" outlineLevel="0" collapsed="false">
      <c r="A176" s="7"/>
      <c r="B176" s="8"/>
      <c r="C176" s="9"/>
      <c r="D176" s="20"/>
      <c r="E176" s="10"/>
      <c r="F176" s="9"/>
      <c r="G176" s="11" t="str">
        <f aca="false">IF(C176="","",IFERROR(INDEX(Catálogo!$B$5:$B$2000,MATCH(C176,Catálogo!$A$5:$A$2000,0)),""))</f>
        <v/>
      </c>
      <c r="H176" s="11" t="str">
        <f aca="false">IF(C176="","",IFERROR(INDEX(Catálogo!$C$5:$C$2000,MATCH(C176,Catálogo!$A$5:$A$2000,0)),""))</f>
        <v/>
      </c>
      <c r="I176" s="11" t="str">
        <f aca="false">IF(D176="","",IF(D176&gt;UmbralAlarma,"Alarmante",IF(D176&gt;=UmbralRegular,"Regular","Bueno")))</f>
        <v/>
      </c>
      <c r="J176" s="11" t="str">
        <f aca="true">IF(COUNTA(A176:F176)=0,"",IF(OR(A176="",B176="",C176="",D176=""),"Faltan datos",IF(G176="","AP no está en el catálogo",IF(A176&gt;TODAY()+1,"Fecha futura",IF(OR(D176&lt;0,D176&lt;&gt;INT(D176)),"Usuarios no válidos",IF(AND(E176&lt;&gt;"",OR(E176&lt;0,E176&gt;1)),"Utilización fuera de 0-100%",IF(COUNTIFS($A$5:$A$604,A176,$B$5:$B$604,B176,$C$5:$C$604,C176)&gt;1,"Fila duplicada","OK")))))))</f>
        <v/>
      </c>
      <c r="K176" s="9"/>
    </row>
    <row r="177" customFormat="false" ht="15" hidden="false" customHeight="false" outlineLevel="0" collapsed="false">
      <c r="A177" s="7"/>
      <c r="B177" s="8"/>
      <c r="C177" s="9"/>
      <c r="D177" s="20"/>
      <c r="E177" s="10"/>
      <c r="F177" s="9"/>
      <c r="G177" s="11" t="str">
        <f aca="false">IF(C177="","",IFERROR(INDEX(Catálogo!$B$5:$B$2000,MATCH(C177,Catálogo!$A$5:$A$2000,0)),""))</f>
        <v/>
      </c>
      <c r="H177" s="11" t="str">
        <f aca="false">IF(C177="","",IFERROR(INDEX(Catálogo!$C$5:$C$2000,MATCH(C177,Catálogo!$A$5:$A$2000,0)),""))</f>
        <v/>
      </c>
      <c r="I177" s="11" t="str">
        <f aca="false">IF(D177="","",IF(D177&gt;UmbralAlarma,"Alarmante",IF(D177&gt;=UmbralRegular,"Regular","Bueno")))</f>
        <v/>
      </c>
      <c r="J177" s="11" t="str">
        <f aca="true">IF(COUNTA(A177:F177)=0,"",IF(OR(A177="",B177="",C177="",D177=""),"Faltan datos",IF(G177="","AP no está en el catálogo",IF(A177&gt;TODAY()+1,"Fecha futura",IF(OR(D177&lt;0,D177&lt;&gt;INT(D177)),"Usuarios no válidos",IF(AND(E177&lt;&gt;"",OR(E177&lt;0,E177&gt;1)),"Utilización fuera de 0-100%",IF(COUNTIFS($A$5:$A$604,A177,$B$5:$B$604,B177,$C$5:$C$604,C177)&gt;1,"Fila duplicada","OK")))))))</f>
        <v/>
      </c>
      <c r="K177" s="9"/>
    </row>
    <row r="178" customFormat="false" ht="15" hidden="false" customHeight="false" outlineLevel="0" collapsed="false">
      <c r="A178" s="7"/>
      <c r="B178" s="8"/>
      <c r="C178" s="9"/>
      <c r="D178" s="20"/>
      <c r="E178" s="10"/>
      <c r="F178" s="9"/>
      <c r="G178" s="11" t="str">
        <f aca="false">IF(C178="","",IFERROR(INDEX(Catálogo!$B$5:$B$2000,MATCH(C178,Catálogo!$A$5:$A$2000,0)),""))</f>
        <v/>
      </c>
      <c r="H178" s="11" t="str">
        <f aca="false">IF(C178="","",IFERROR(INDEX(Catálogo!$C$5:$C$2000,MATCH(C178,Catálogo!$A$5:$A$2000,0)),""))</f>
        <v/>
      </c>
      <c r="I178" s="11" t="str">
        <f aca="false">IF(D178="","",IF(D178&gt;UmbralAlarma,"Alarmante",IF(D178&gt;=UmbralRegular,"Regular","Bueno")))</f>
        <v/>
      </c>
      <c r="J178" s="11" t="str">
        <f aca="true">IF(COUNTA(A178:F178)=0,"",IF(OR(A178="",B178="",C178="",D178=""),"Faltan datos",IF(G178="","AP no está en el catálogo",IF(A178&gt;TODAY()+1,"Fecha futura",IF(OR(D178&lt;0,D178&lt;&gt;INT(D178)),"Usuarios no válidos",IF(AND(E178&lt;&gt;"",OR(E178&lt;0,E178&gt;1)),"Utilización fuera de 0-100%",IF(COUNTIFS($A$5:$A$604,A178,$B$5:$B$604,B178,$C$5:$C$604,C178)&gt;1,"Fila duplicada","OK")))))))</f>
        <v/>
      </c>
      <c r="K178" s="9"/>
    </row>
    <row r="179" customFormat="false" ht="15" hidden="false" customHeight="false" outlineLevel="0" collapsed="false">
      <c r="A179" s="7"/>
      <c r="B179" s="8"/>
      <c r="C179" s="9"/>
      <c r="D179" s="20"/>
      <c r="E179" s="10"/>
      <c r="F179" s="9"/>
      <c r="G179" s="11" t="str">
        <f aca="false">IF(C179="","",IFERROR(INDEX(Catálogo!$B$5:$B$2000,MATCH(C179,Catálogo!$A$5:$A$2000,0)),""))</f>
        <v/>
      </c>
      <c r="H179" s="11" t="str">
        <f aca="false">IF(C179="","",IFERROR(INDEX(Catálogo!$C$5:$C$2000,MATCH(C179,Catálogo!$A$5:$A$2000,0)),""))</f>
        <v/>
      </c>
      <c r="I179" s="11" t="str">
        <f aca="false">IF(D179="","",IF(D179&gt;UmbralAlarma,"Alarmante",IF(D179&gt;=UmbralRegular,"Regular","Bueno")))</f>
        <v/>
      </c>
      <c r="J179" s="11" t="str">
        <f aca="true">IF(COUNTA(A179:F179)=0,"",IF(OR(A179="",B179="",C179="",D179=""),"Faltan datos",IF(G179="","AP no está en el catálogo",IF(A179&gt;TODAY()+1,"Fecha futura",IF(OR(D179&lt;0,D179&lt;&gt;INT(D179)),"Usuarios no válidos",IF(AND(E179&lt;&gt;"",OR(E179&lt;0,E179&gt;1)),"Utilización fuera de 0-100%",IF(COUNTIFS($A$5:$A$604,A179,$B$5:$B$604,B179,$C$5:$C$604,C179)&gt;1,"Fila duplicada","OK")))))))</f>
        <v/>
      </c>
      <c r="K179" s="9"/>
    </row>
    <row r="180" customFormat="false" ht="15" hidden="false" customHeight="false" outlineLevel="0" collapsed="false">
      <c r="A180" s="7"/>
      <c r="B180" s="8"/>
      <c r="C180" s="9"/>
      <c r="D180" s="20"/>
      <c r="E180" s="10"/>
      <c r="F180" s="9"/>
      <c r="G180" s="11" t="str">
        <f aca="false">IF(C180="","",IFERROR(INDEX(Catálogo!$B$5:$B$2000,MATCH(C180,Catálogo!$A$5:$A$2000,0)),""))</f>
        <v/>
      </c>
      <c r="H180" s="11" t="str">
        <f aca="false">IF(C180="","",IFERROR(INDEX(Catálogo!$C$5:$C$2000,MATCH(C180,Catálogo!$A$5:$A$2000,0)),""))</f>
        <v/>
      </c>
      <c r="I180" s="11" t="str">
        <f aca="false">IF(D180="","",IF(D180&gt;UmbralAlarma,"Alarmante",IF(D180&gt;=UmbralRegular,"Regular","Bueno")))</f>
        <v/>
      </c>
      <c r="J180" s="11" t="str">
        <f aca="true">IF(COUNTA(A180:F180)=0,"",IF(OR(A180="",B180="",C180="",D180=""),"Faltan datos",IF(G180="","AP no está en el catálogo",IF(A180&gt;TODAY()+1,"Fecha futura",IF(OR(D180&lt;0,D180&lt;&gt;INT(D180)),"Usuarios no válidos",IF(AND(E180&lt;&gt;"",OR(E180&lt;0,E180&gt;1)),"Utilización fuera de 0-100%",IF(COUNTIFS($A$5:$A$604,A180,$B$5:$B$604,B180,$C$5:$C$604,C180)&gt;1,"Fila duplicada","OK")))))))</f>
        <v/>
      </c>
      <c r="K180" s="9"/>
    </row>
    <row r="181" customFormat="false" ht="15" hidden="false" customHeight="false" outlineLevel="0" collapsed="false">
      <c r="A181" s="7"/>
      <c r="B181" s="8"/>
      <c r="C181" s="9"/>
      <c r="D181" s="20"/>
      <c r="E181" s="10"/>
      <c r="F181" s="9"/>
      <c r="G181" s="11" t="str">
        <f aca="false">IF(C181="","",IFERROR(INDEX(Catálogo!$B$5:$B$2000,MATCH(C181,Catálogo!$A$5:$A$2000,0)),""))</f>
        <v/>
      </c>
      <c r="H181" s="11" t="str">
        <f aca="false">IF(C181="","",IFERROR(INDEX(Catálogo!$C$5:$C$2000,MATCH(C181,Catálogo!$A$5:$A$2000,0)),""))</f>
        <v/>
      </c>
      <c r="I181" s="11" t="str">
        <f aca="false">IF(D181="","",IF(D181&gt;UmbralAlarma,"Alarmante",IF(D181&gt;=UmbralRegular,"Regular","Bueno")))</f>
        <v/>
      </c>
      <c r="J181" s="11" t="str">
        <f aca="true">IF(COUNTA(A181:F181)=0,"",IF(OR(A181="",B181="",C181="",D181=""),"Faltan datos",IF(G181="","AP no está en el catálogo",IF(A181&gt;TODAY()+1,"Fecha futura",IF(OR(D181&lt;0,D181&lt;&gt;INT(D181)),"Usuarios no válidos",IF(AND(E181&lt;&gt;"",OR(E181&lt;0,E181&gt;1)),"Utilización fuera de 0-100%",IF(COUNTIFS($A$5:$A$604,A181,$B$5:$B$604,B181,$C$5:$C$604,C181)&gt;1,"Fila duplicada","OK")))))))</f>
        <v/>
      </c>
      <c r="K181" s="9"/>
    </row>
    <row r="182" customFormat="false" ht="15" hidden="false" customHeight="false" outlineLevel="0" collapsed="false">
      <c r="A182" s="7"/>
      <c r="B182" s="8"/>
      <c r="C182" s="9"/>
      <c r="D182" s="20"/>
      <c r="E182" s="10"/>
      <c r="F182" s="9"/>
      <c r="G182" s="11" t="str">
        <f aca="false">IF(C182="","",IFERROR(INDEX(Catálogo!$B$5:$B$2000,MATCH(C182,Catálogo!$A$5:$A$2000,0)),""))</f>
        <v/>
      </c>
      <c r="H182" s="11" t="str">
        <f aca="false">IF(C182="","",IFERROR(INDEX(Catálogo!$C$5:$C$2000,MATCH(C182,Catálogo!$A$5:$A$2000,0)),""))</f>
        <v/>
      </c>
      <c r="I182" s="11" t="str">
        <f aca="false">IF(D182="","",IF(D182&gt;UmbralAlarma,"Alarmante",IF(D182&gt;=UmbralRegular,"Regular","Bueno")))</f>
        <v/>
      </c>
      <c r="J182" s="11" t="str">
        <f aca="true">IF(COUNTA(A182:F182)=0,"",IF(OR(A182="",B182="",C182="",D182=""),"Faltan datos",IF(G182="","AP no está en el catálogo",IF(A182&gt;TODAY()+1,"Fecha futura",IF(OR(D182&lt;0,D182&lt;&gt;INT(D182)),"Usuarios no válidos",IF(AND(E182&lt;&gt;"",OR(E182&lt;0,E182&gt;1)),"Utilización fuera de 0-100%",IF(COUNTIFS($A$5:$A$604,A182,$B$5:$B$604,B182,$C$5:$C$604,C182)&gt;1,"Fila duplicada","OK")))))))</f>
        <v/>
      </c>
      <c r="K182" s="9"/>
    </row>
    <row r="183" customFormat="false" ht="15" hidden="false" customHeight="false" outlineLevel="0" collapsed="false">
      <c r="A183" s="7"/>
      <c r="B183" s="8"/>
      <c r="C183" s="9"/>
      <c r="D183" s="20"/>
      <c r="E183" s="10"/>
      <c r="F183" s="9"/>
      <c r="G183" s="11" t="str">
        <f aca="false">IF(C183="","",IFERROR(INDEX(Catálogo!$B$5:$B$2000,MATCH(C183,Catálogo!$A$5:$A$2000,0)),""))</f>
        <v/>
      </c>
      <c r="H183" s="11" t="str">
        <f aca="false">IF(C183="","",IFERROR(INDEX(Catálogo!$C$5:$C$2000,MATCH(C183,Catálogo!$A$5:$A$2000,0)),""))</f>
        <v/>
      </c>
      <c r="I183" s="11" t="str">
        <f aca="false">IF(D183="","",IF(D183&gt;UmbralAlarma,"Alarmante",IF(D183&gt;=UmbralRegular,"Regular","Bueno")))</f>
        <v/>
      </c>
      <c r="J183" s="11" t="str">
        <f aca="true">IF(COUNTA(A183:F183)=0,"",IF(OR(A183="",B183="",C183="",D183=""),"Faltan datos",IF(G183="","AP no está en el catálogo",IF(A183&gt;TODAY()+1,"Fecha futura",IF(OR(D183&lt;0,D183&lt;&gt;INT(D183)),"Usuarios no válidos",IF(AND(E183&lt;&gt;"",OR(E183&lt;0,E183&gt;1)),"Utilización fuera de 0-100%",IF(COUNTIFS($A$5:$A$604,A183,$B$5:$B$604,B183,$C$5:$C$604,C183)&gt;1,"Fila duplicada","OK")))))))</f>
        <v/>
      </c>
      <c r="K183" s="9"/>
    </row>
    <row r="184" customFormat="false" ht="15" hidden="false" customHeight="false" outlineLevel="0" collapsed="false">
      <c r="A184" s="7"/>
      <c r="B184" s="8"/>
      <c r="C184" s="9"/>
      <c r="D184" s="20"/>
      <c r="E184" s="10"/>
      <c r="F184" s="9"/>
      <c r="G184" s="11" t="str">
        <f aca="false">IF(C184="","",IFERROR(INDEX(Catálogo!$B$5:$B$2000,MATCH(C184,Catálogo!$A$5:$A$2000,0)),""))</f>
        <v/>
      </c>
      <c r="H184" s="11" t="str">
        <f aca="false">IF(C184="","",IFERROR(INDEX(Catálogo!$C$5:$C$2000,MATCH(C184,Catálogo!$A$5:$A$2000,0)),""))</f>
        <v/>
      </c>
      <c r="I184" s="11" t="str">
        <f aca="false">IF(D184="","",IF(D184&gt;UmbralAlarma,"Alarmante",IF(D184&gt;=UmbralRegular,"Regular","Bueno")))</f>
        <v/>
      </c>
      <c r="J184" s="11" t="str">
        <f aca="true">IF(COUNTA(A184:F184)=0,"",IF(OR(A184="",B184="",C184="",D184=""),"Faltan datos",IF(G184="","AP no está en el catálogo",IF(A184&gt;TODAY()+1,"Fecha futura",IF(OR(D184&lt;0,D184&lt;&gt;INT(D184)),"Usuarios no válidos",IF(AND(E184&lt;&gt;"",OR(E184&lt;0,E184&gt;1)),"Utilización fuera de 0-100%",IF(COUNTIFS($A$5:$A$604,A184,$B$5:$B$604,B184,$C$5:$C$604,C184)&gt;1,"Fila duplicada","OK")))))))</f>
        <v/>
      </c>
      <c r="K184" s="9"/>
    </row>
    <row r="185" customFormat="false" ht="15" hidden="false" customHeight="false" outlineLevel="0" collapsed="false">
      <c r="A185" s="7"/>
      <c r="B185" s="8"/>
      <c r="C185" s="9"/>
      <c r="D185" s="20"/>
      <c r="E185" s="10"/>
      <c r="F185" s="9"/>
      <c r="G185" s="11" t="str">
        <f aca="false">IF(C185="","",IFERROR(INDEX(Catálogo!$B$5:$B$2000,MATCH(C185,Catálogo!$A$5:$A$2000,0)),""))</f>
        <v/>
      </c>
      <c r="H185" s="11" t="str">
        <f aca="false">IF(C185="","",IFERROR(INDEX(Catálogo!$C$5:$C$2000,MATCH(C185,Catálogo!$A$5:$A$2000,0)),""))</f>
        <v/>
      </c>
      <c r="I185" s="11" t="str">
        <f aca="false">IF(D185="","",IF(D185&gt;UmbralAlarma,"Alarmante",IF(D185&gt;=UmbralRegular,"Regular","Bueno")))</f>
        <v/>
      </c>
      <c r="J185" s="11" t="str">
        <f aca="true">IF(COUNTA(A185:F185)=0,"",IF(OR(A185="",B185="",C185="",D185=""),"Faltan datos",IF(G185="","AP no está en el catálogo",IF(A185&gt;TODAY()+1,"Fecha futura",IF(OR(D185&lt;0,D185&lt;&gt;INT(D185)),"Usuarios no válidos",IF(AND(E185&lt;&gt;"",OR(E185&lt;0,E185&gt;1)),"Utilización fuera de 0-100%",IF(COUNTIFS($A$5:$A$604,A185,$B$5:$B$604,B185,$C$5:$C$604,C185)&gt;1,"Fila duplicada","OK")))))))</f>
        <v/>
      </c>
      <c r="K185" s="9"/>
    </row>
    <row r="186" customFormat="false" ht="15" hidden="false" customHeight="false" outlineLevel="0" collapsed="false">
      <c r="A186" s="7"/>
      <c r="B186" s="8"/>
      <c r="C186" s="9"/>
      <c r="D186" s="20"/>
      <c r="E186" s="10"/>
      <c r="F186" s="9"/>
      <c r="G186" s="11" t="str">
        <f aca="false">IF(C186="","",IFERROR(INDEX(Catálogo!$B$5:$B$2000,MATCH(C186,Catálogo!$A$5:$A$2000,0)),""))</f>
        <v/>
      </c>
      <c r="H186" s="11" t="str">
        <f aca="false">IF(C186="","",IFERROR(INDEX(Catálogo!$C$5:$C$2000,MATCH(C186,Catálogo!$A$5:$A$2000,0)),""))</f>
        <v/>
      </c>
      <c r="I186" s="11" t="str">
        <f aca="false">IF(D186="","",IF(D186&gt;UmbralAlarma,"Alarmante",IF(D186&gt;=UmbralRegular,"Regular","Bueno")))</f>
        <v/>
      </c>
      <c r="J186" s="11" t="str">
        <f aca="true">IF(COUNTA(A186:F186)=0,"",IF(OR(A186="",B186="",C186="",D186=""),"Faltan datos",IF(G186="","AP no está en el catálogo",IF(A186&gt;TODAY()+1,"Fecha futura",IF(OR(D186&lt;0,D186&lt;&gt;INT(D186)),"Usuarios no válidos",IF(AND(E186&lt;&gt;"",OR(E186&lt;0,E186&gt;1)),"Utilización fuera de 0-100%",IF(COUNTIFS($A$5:$A$604,A186,$B$5:$B$604,B186,$C$5:$C$604,C186)&gt;1,"Fila duplicada","OK")))))))</f>
        <v/>
      </c>
      <c r="K186" s="9"/>
    </row>
    <row r="187" customFormat="false" ht="15" hidden="false" customHeight="false" outlineLevel="0" collapsed="false">
      <c r="A187" s="7"/>
      <c r="B187" s="8"/>
      <c r="C187" s="9"/>
      <c r="D187" s="20"/>
      <c r="E187" s="10"/>
      <c r="F187" s="9"/>
      <c r="G187" s="11" t="str">
        <f aca="false">IF(C187="","",IFERROR(INDEX(Catálogo!$B$5:$B$2000,MATCH(C187,Catálogo!$A$5:$A$2000,0)),""))</f>
        <v/>
      </c>
      <c r="H187" s="11" t="str">
        <f aca="false">IF(C187="","",IFERROR(INDEX(Catálogo!$C$5:$C$2000,MATCH(C187,Catálogo!$A$5:$A$2000,0)),""))</f>
        <v/>
      </c>
      <c r="I187" s="11" t="str">
        <f aca="false">IF(D187="","",IF(D187&gt;UmbralAlarma,"Alarmante",IF(D187&gt;=UmbralRegular,"Regular","Bueno")))</f>
        <v/>
      </c>
      <c r="J187" s="11" t="str">
        <f aca="true">IF(COUNTA(A187:F187)=0,"",IF(OR(A187="",B187="",C187="",D187=""),"Faltan datos",IF(G187="","AP no está en el catálogo",IF(A187&gt;TODAY()+1,"Fecha futura",IF(OR(D187&lt;0,D187&lt;&gt;INT(D187)),"Usuarios no válidos",IF(AND(E187&lt;&gt;"",OR(E187&lt;0,E187&gt;1)),"Utilización fuera de 0-100%",IF(COUNTIFS($A$5:$A$604,A187,$B$5:$B$604,B187,$C$5:$C$604,C187)&gt;1,"Fila duplicada","OK")))))))</f>
        <v/>
      </c>
      <c r="K187" s="9"/>
    </row>
    <row r="188" customFormat="false" ht="15" hidden="false" customHeight="false" outlineLevel="0" collapsed="false">
      <c r="A188" s="7"/>
      <c r="B188" s="8"/>
      <c r="C188" s="9"/>
      <c r="D188" s="20"/>
      <c r="E188" s="10"/>
      <c r="F188" s="9"/>
      <c r="G188" s="11" t="str">
        <f aca="false">IF(C188="","",IFERROR(INDEX(Catálogo!$B$5:$B$2000,MATCH(C188,Catálogo!$A$5:$A$2000,0)),""))</f>
        <v/>
      </c>
      <c r="H188" s="11" t="str">
        <f aca="false">IF(C188="","",IFERROR(INDEX(Catálogo!$C$5:$C$2000,MATCH(C188,Catálogo!$A$5:$A$2000,0)),""))</f>
        <v/>
      </c>
      <c r="I188" s="11" t="str">
        <f aca="false">IF(D188="","",IF(D188&gt;UmbralAlarma,"Alarmante",IF(D188&gt;=UmbralRegular,"Regular","Bueno")))</f>
        <v/>
      </c>
      <c r="J188" s="11" t="str">
        <f aca="true">IF(COUNTA(A188:F188)=0,"",IF(OR(A188="",B188="",C188="",D188=""),"Faltan datos",IF(G188="","AP no está en el catálogo",IF(A188&gt;TODAY()+1,"Fecha futura",IF(OR(D188&lt;0,D188&lt;&gt;INT(D188)),"Usuarios no válidos",IF(AND(E188&lt;&gt;"",OR(E188&lt;0,E188&gt;1)),"Utilización fuera de 0-100%",IF(COUNTIFS($A$5:$A$604,A188,$B$5:$B$604,B188,$C$5:$C$604,C188)&gt;1,"Fila duplicada","OK")))))))</f>
        <v/>
      </c>
      <c r="K188" s="9"/>
    </row>
    <row r="189" customFormat="false" ht="15" hidden="false" customHeight="false" outlineLevel="0" collapsed="false">
      <c r="A189" s="7"/>
      <c r="B189" s="8"/>
      <c r="C189" s="9"/>
      <c r="D189" s="20"/>
      <c r="E189" s="10"/>
      <c r="F189" s="9"/>
      <c r="G189" s="11" t="str">
        <f aca="false">IF(C189="","",IFERROR(INDEX(Catálogo!$B$5:$B$2000,MATCH(C189,Catálogo!$A$5:$A$2000,0)),""))</f>
        <v/>
      </c>
      <c r="H189" s="11" t="str">
        <f aca="false">IF(C189="","",IFERROR(INDEX(Catálogo!$C$5:$C$2000,MATCH(C189,Catálogo!$A$5:$A$2000,0)),""))</f>
        <v/>
      </c>
      <c r="I189" s="11" t="str">
        <f aca="false">IF(D189="","",IF(D189&gt;UmbralAlarma,"Alarmante",IF(D189&gt;=UmbralRegular,"Regular","Bueno")))</f>
        <v/>
      </c>
      <c r="J189" s="11" t="str">
        <f aca="true">IF(COUNTA(A189:F189)=0,"",IF(OR(A189="",B189="",C189="",D189=""),"Faltan datos",IF(G189="","AP no está en el catálogo",IF(A189&gt;TODAY()+1,"Fecha futura",IF(OR(D189&lt;0,D189&lt;&gt;INT(D189)),"Usuarios no válidos",IF(AND(E189&lt;&gt;"",OR(E189&lt;0,E189&gt;1)),"Utilización fuera de 0-100%",IF(COUNTIFS($A$5:$A$604,A189,$B$5:$B$604,B189,$C$5:$C$604,C189)&gt;1,"Fila duplicada","OK")))))))</f>
        <v/>
      </c>
      <c r="K189" s="9"/>
    </row>
    <row r="190" customFormat="false" ht="15" hidden="false" customHeight="false" outlineLevel="0" collapsed="false">
      <c r="A190" s="7"/>
      <c r="B190" s="8"/>
      <c r="C190" s="9"/>
      <c r="D190" s="20"/>
      <c r="E190" s="10"/>
      <c r="F190" s="9"/>
      <c r="G190" s="11" t="str">
        <f aca="false">IF(C190="","",IFERROR(INDEX(Catálogo!$B$5:$B$2000,MATCH(C190,Catálogo!$A$5:$A$2000,0)),""))</f>
        <v/>
      </c>
      <c r="H190" s="11" t="str">
        <f aca="false">IF(C190="","",IFERROR(INDEX(Catálogo!$C$5:$C$2000,MATCH(C190,Catálogo!$A$5:$A$2000,0)),""))</f>
        <v/>
      </c>
      <c r="I190" s="11" t="str">
        <f aca="false">IF(D190="","",IF(D190&gt;UmbralAlarma,"Alarmante",IF(D190&gt;=UmbralRegular,"Regular","Bueno")))</f>
        <v/>
      </c>
      <c r="J190" s="11" t="str">
        <f aca="true">IF(COUNTA(A190:F190)=0,"",IF(OR(A190="",B190="",C190="",D190=""),"Faltan datos",IF(G190="","AP no está en el catálogo",IF(A190&gt;TODAY()+1,"Fecha futura",IF(OR(D190&lt;0,D190&lt;&gt;INT(D190)),"Usuarios no válidos",IF(AND(E190&lt;&gt;"",OR(E190&lt;0,E190&gt;1)),"Utilización fuera de 0-100%",IF(COUNTIFS($A$5:$A$604,A190,$B$5:$B$604,B190,$C$5:$C$604,C190)&gt;1,"Fila duplicada","OK")))))))</f>
        <v/>
      </c>
      <c r="K190" s="9"/>
    </row>
    <row r="191" customFormat="false" ht="15" hidden="false" customHeight="false" outlineLevel="0" collapsed="false">
      <c r="A191" s="7"/>
      <c r="B191" s="8"/>
      <c r="C191" s="9"/>
      <c r="D191" s="20"/>
      <c r="E191" s="10"/>
      <c r="F191" s="9"/>
      <c r="G191" s="11" t="str">
        <f aca="false">IF(C191="","",IFERROR(INDEX(Catálogo!$B$5:$B$2000,MATCH(C191,Catálogo!$A$5:$A$2000,0)),""))</f>
        <v/>
      </c>
      <c r="H191" s="11" t="str">
        <f aca="false">IF(C191="","",IFERROR(INDEX(Catálogo!$C$5:$C$2000,MATCH(C191,Catálogo!$A$5:$A$2000,0)),""))</f>
        <v/>
      </c>
      <c r="I191" s="11" t="str">
        <f aca="false">IF(D191="","",IF(D191&gt;UmbralAlarma,"Alarmante",IF(D191&gt;=UmbralRegular,"Regular","Bueno")))</f>
        <v/>
      </c>
      <c r="J191" s="11" t="str">
        <f aca="true">IF(COUNTA(A191:F191)=0,"",IF(OR(A191="",B191="",C191="",D191=""),"Faltan datos",IF(G191="","AP no está en el catálogo",IF(A191&gt;TODAY()+1,"Fecha futura",IF(OR(D191&lt;0,D191&lt;&gt;INT(D191)),"Usuarios no válidos",IF(AND(E191&lt;&gt;"",OR(E191&lt;0,E191&gt;1)),"Utilización fuera de 0-100%",IF(COUNTIFS($A$5:$A$604,A191,$B$5:$B$604,B191,$C$5:$C$604,C191)&gt;1,"Fila duplicada","OK")))))))</f>
        <v/>
      </c>
      <c r="K191" s="9"/>
    </row>
    <row r="192" customFormat="false" ht="15" hidden="false" customHeight="false" outlineLevel="0" collapsed="false">
      <c r="A192" s="7"/>
      <c r="B192" s="8"/>
      <c r="C192" s="9"/>
      <c r="D192" s="20"/>
      <c r="E192" s="10"/>
      <c r="F192" s="9"/>
      <c r="G192" s="11" t="str">
        <f aca="false">IF(C192="","",IFERROR(INDEX(Catálogo!$B$5:$B$2000,MATCH(C192,Catálogo!$A$5:$A$2000,0)),""))</f>
        <v/>
      </c>
      <c r="H192" s="11" t="str">
        <f aca="false">IF(C192="","",IFERROR(INDEX(Catálogo!$C$5:$C$2000,MATCH(C192,Catálogo!$A$5:$A$2000,0)),""))</f>
        <v/>
      </c>
      <c r="I192" s="11" t="str">
        <f aca="false">IF(D192="","",IF(D192&gt;UmbralAlarma,"Alarmante",IF(D192&gt;=UmbralRegular,"Regular","Bueno")))</f>
        <v/>
      </c>
      <c r="J192" s="11" t="str">
        <f aca="true">IF(COUNTA(A192:F192)=0,"",IF(OR(A192="",B192="",C192="",D192=""),"Faltan datos",IF(G192="","AP no está en el catálogo",IF(A192&gt;TODAY()+1,"Fecha futura",IF(OR(D192&lt;0,D192&lt;&gt;INT(D192)),"Usuarios no válidos",IF(AND(E192&lt;&gt;"",OR(E192&lt;0,E192&gt;1)),"Utilización fuera de 0-100%",IF(COUNTIFS($A$5:$A$604,A192,$B$5:$B$604,B192,$C$5:$C$604,C192)&gt;1,"Fila duplicada","OK")))))))</f>
        <v/>
      </c>
      <c r="K192" s="9"/>
    </row>
    <row r="193" customFormat="false" ht="15" hidden="false" customHeight="false" outlineLevel="0" collapsed="false">
      <c r="A193" s="7"/>
      <c r="B193" s="8"/>
      <c r="C193" s="9"/>
      <c r="D193" s="20"/>
      <c r="E193" s="10"/>
      <c r="F193" s="9"/>
      <c r="G193" s="11" t="str">
        <f aca="false">IF(C193="","",IFERROR(INDEX(Catálogo!$B$5:$B$2000,MATCH(C193,Catálogo!$A$5:$A$2000,0)),""))</f>
        <v/>
      </c>
      <c r="H193" s="11" t="str">
        <f aca="false">IF(C193="","",IFERROR(INDEX(Catálogo!$C$5:$C$2000,MATCH(C193,Catálogo!$A$5:$A$2000,0)),""))</f>
        <v/>
      </c>
      <c r="I193" s="11" t="str">
        <f aca="false">IF(D193="","",IF(D193&gt;UmbralAlarma,"Alarmante",IF(D193&gt;=UmbralRegular,"Regular","Bueno")))</f>
        <v/>
      </c>
      <c r="J193" s="11" t="str">
        <f aca="true">IF(COUNTA(A193:F193)=0,"",IF(OR(A193="",B193="",C193="",D193=""),"Faltan datos",IF(G193="","AP no está en el catálogo",IF(A193&gt;TODAY()+1,"Fecha futura",IF(OR(D193&lt;0,D193&lt;&gt;INT(D193)),"Usuarios no válidos",IF(AND(E193&lt;&gt;"",OR(E193&lt;0,E193&gt;1)),"Utilización fuera de 0-100%",IF(COUNTIFS($A$5:$A$604,A193,$B$5:$B$604,B193,$C$5:$C$604,C193)&gt;1,"Fila duplicada","OK")))))))</f>
        <v/>
      </c>
      <c r="K193" s="9"/>
    </row>
    <row r="194" customFormat="false" ht="15" hidden="false" customHeight="false" outlineLevel="0" collapsed="false">
      <c r="A194" s="7"/>
      <c r="B194" s="8"/>
      <c r="C194" s="9"/>
      <c r="D194" s="20"/>
      <c r="E194" s="10"/>
      <c r="F194" s="9"/>
      <c r="G194" s="11" t="str">
        <f aca="false">IF(C194="","",IFERROR(INDEX(Catálogo!$B$5:$B$2000,MATCH(C194,Catálogo!$A$5:$A$2000,0)),""))</f>
        <v/>
      </c>
      <c r="H194" s="11" t="str">
        <f aca="false">IF(C194="","",IFERROR(INDEX(Catálogo!$C$5:$C$2000,MATCH(C194,Catálogo!$A$5:$A$2000,0)),""))</f>
        <v/>
      </c>
      <c r="I194" s="11" t="str">
        <f aca="false">IF(D194="","",IF(D194&gt;UmbralAlarma,"Alarmante",IF(D194&gt;=UmbralRegular,"Regular","Bueno")))</f>
        <v/>
      </c>
      <c r="J194" s="11" t="str">
        <f aca="true">IF(COUNTA(A194:F194)=0,"",IF(OR(A194="",B194="",C194="",D194=""),"Faltan datos",IF(G194="","AP no está en el catálogo",IF(A194&gt;TODAY()+1,"Fecha futura",IF(OR(D194&lt;0,D194&lt;&gt;INT(D194)),"Usuarios no válidos",IF(AND(E194&lt;&gt;"",OR(E194&lt;0,E194&gt;1)),"Utilización fuera de 0-100%",IF(COUNTIFS($A$5:$A$604,A194,$B$5:$B$604,B194,$C$5:$C$604,C194)&gt;1,"Fila duplicada","OK")))))))</f>
        <v/>
      </c>
      <c r="K194" s="9"/>
    </row>
    <row r="195" customFormat="false" ht="15" hidden="false" customHeight="false" outlineLevel="0" collapsed="false">
      <c r="A195" s="7"/>
      <c r="B195" s="8"/>
      <c r="C195" s="9"/>
      <c r="D195" s="20"/>
      <c r="E195" s="10"/>
      <c r="F195" s="9"/>
      <c r="G195" s="11" t="str">
        <f aca="false">IF(C195="","",IFERROR(INDEX(Catálogo!$B$5:$B$2000,MATCH(C195,Catálogo!$A$5:$A$2000,0)),""))</f>
        <v/>
      </c>
      <c r="H195" s="11" t="str">
        <f aca="false">IF(C195="","",IFERROR(INDEX(Catálogo!$C$5:$C$2000,MATCH(C195,Catálogo!$A$5:$A$2000,0)),""))</f>
        <v/>
      </c>
      <c r="I195" s="11" t="str">
        <f aca="false">IF(D195="","",IF(D195&gt;UmbralAlarma,"Alarmante",IF(D195&gt;=UmbralRegular,"Regular","Bueno")))</f>
        <v/>
      </c>
      <c r="J195" s="11" t="str">
        <f aca="true">IF(COUNTA(A195:F195)=0,"",IF(OR(A195="",B195="",C195="",D195=""),"Faltan datos",IF(G195="","AP no está en el catálogo",IF(A195&gt;TODAY()+1,"Fecha futura",IF(OR(D195&lt;0,D195&lt;&gt;INT(D195)),"Usuarios no válidos",IF(AND(E195&lt;&gt;"",OR(E195&lt;0,E195&gt;1)),"Utilización fuera de 0-100%",IF(COUNTIFS($A$5:$A$604,A195,$B$5:$B$604,B195,$C$5:$C$604,C195)&gt;1,"Fila duplicada","OK")))))))</f>
        <v/>
      </c>
      <c r="K195" s="9"/>
    </row>
    <row r="196" customFormat="false" ht="15" hidden="false" customHeight="false" outlineLevel="0" collapsed="false">
      <c r="A196" s="7"/>
      <c r="B196" s="8"/>
      <c r="C196" s="9"/>
      <c r="D196" s="20"/>
      <c r="E196" s="10"/>
      <c r="F196" s="9"/>
      <c r="G196" s="11" t="str">
        <f aca="false">IF(C196="","",IFERROR(INDEX(Catálogo!$B$5:$B$2000,MATCH(C196,Catálogo!$A$5:$A$2000,0)),""))</f>
        <v/>
      </c>
      <c r="H196" s="11" t="str">
        <f aca="false">IF(C196="","",IFERROR(INDEX(Catálogo!$C$5:$C$2000,MATCH(C196,Catálogo!$A$5:$A$2000,0)),""))</f>
        <v/>
      </c>
      <c r="I196" s="11" t="str">
        <f aca="false">IF(D196="","",IF(D196&gt;UmbralAlarma,"Alarmante",IF(D196&gt;=UmbralRegular,"Regular","Bueno")))</f>
        <v/>
      </c>
      <c r="J196" s="11" t="str">
        <f aca="true">IF(COUNTA(A196:F196)=0,"",IF(OR(A196="",B196="",C196="",D196=""),"Faltan datos",IF(G196="","AP no está en el catálogo",IF(A196&gt;TODAY()+1,"Fecha futura",IF(OR(D196&lt;0,D196&lt;&gt;INT(D196)),"Usuarios no válidos",IF(AND(E196&lt;&gt;"",OR(E196&lt;0,E196&gt;1)),"Utilización fuera de 0-100%",IF(COUNTIFS($A$5:$A$604,A196,$B$5:$B$604,B196,$C$5:$C$604,C196)&gt;1,"Fila duplicada","OK")))))))</f>
        <v/>
      </c>
      <c r="K196" s="9"/>
    </row>
    <row r="197" customFormat="false" ht="15" hidden="false" customHeight="false" outlineLevel="0" collapsed="false">
      <c r="A197" s="7"/>
      <c r="B197" s="8"/>
      <c r="C197" s="9"/>
      <c r="D197" s="20"/>
      <c r="E197" s="10"/>
      <c r="F197" s="9"/>
      <c r="G197" s="11" t="str">
        <f aca="false">IF(C197="","",IFERROR(INDEX(Catálogo!$B$5:$B$2000,MATCH(C197,Catálogo!$A$5:$A$2000,0)),""))</f>
        <v/>
      </c>
      <c r="H197" s="11" t="str">
        <f aca="false">IF(C197="","",IFERROR(INDEX(Catálogo!$C$5:$C$2000,MATCH(C197,Catálogo!$A$5:$A$2000,0)),""))</f>
        <v/>
      </c>
      <c r="I197" s="11" t="str">
        <f aca="false">IF(D197="","",IF(D197&gt;UmbralAlarma,"Alarmante",IF(D197&gt;=UmbralRegular,"Regular","Bueno")))</f>
        <v/>
      </c>
      <c r="J197" s="11" t="str">
        <f aca="true">IF(COUNTA(A197:F197)=0,"",IF(OR(A197="",B197="",C197="",D197=""),"Faltan datos",IF(G197="","AP no está en el catálogo",IF(A197&gt;TODAY()+1,"Fecha futura",IF(OR(D197&lt;0,D197&lt;&gt;INT(D197)),"Usuarios no válidos",IF(AND(E197&lt;&gt;"",OR(E197&lt;0,E197&gt;1)),"Utilización fuera de 0-100%",IF(COUNTIFS($A$5:$A$604,A197,$B$5:$B$604,B197,$C$5:$C$604,C197)&gt;1,"Fila duplicada","OK")))))))</f>
        <v/>
      </c>
      <c r="K197" s="9"/>
    </row>
    <row r="198" customFormat="false" ht="15" hidden="false" customHeight="false" outlineLevel="0" collapsed="false">
      <c r="A198" s="7"/>
      <c r="B198" s="8"/>
      <c r="C198" s="9"/>
      <c r="D198" s="20"/>
      <c r="E198" s="10"/>
      <c r="F198" s="9"/>
      <c r="G198" s="11" t="str">
        <f aca="false">IF(C198="","",IFERROR(INDEX(Catálogo!$B$5:$B$2000,MATCH(C198,Catálogo!$A$5:$A$2000,0)),""))</f>
        <v/>
      </c>
      <c r="H198" s="11" t="str">
        <f aca="false">IF(C198="","",IFERROR(INDEX(Catálogo!$C$5:$C$2000,MATCH(C198,Catálogo!$A$5:$A$2000,0)),""))</f>
        <v/>
      </c>
      <c r="I198" s="11" t="str">
        <f aca="false">IF(D198="","",IF(D198&gt;UmbralAlarma,"Alarmante",IF(D198&gt;=UmbralRegular,"Regular","Bueno")))</f>
        <v/>
      </c>
      <c r="J198" s="11" t="str">
        <f aca="true">IF(COUNTA(A198:F198)=0,"",IF(OR(A198="",B198="",C198="",D198=""),"Faltan datos",IF(G198="","AP no está en el catálogo",IF(A198&gt;TODAY()+1,"Fecha futura",IF(OR(D198&lt;0,D198&lt;&gt;INT(D198)),"Usuarios no válidos",IF(AND(E198&lt;&gt;"",OR(E198&lt;0,E198&gt;1)),"Utilización fuera de 0-100%",IF(COUNTIFS($A$5:$A$604,A198,$B$5:$B$604,B198,$C$5:$C$604,C198)&gt;1,"Fila duplicada","OK")))))))</f>
        <v/>
      </c>
      <c r="K198" s="9"/>
    </row>
    <row r="199" customFormat="false" ht="15" hidden="false" customHeight="false" outlineLevel="0" collapsed="false">
      <c r="A199" s="7"/>
      <c r="B199" s="8"/>
      <c r="C199" s="9"/>
      <c r="D199" s="20"/>
      <c r="E199" s="10"/>
      <c r="F199" s="9"/>
      <c r="G199" s="11" t="str">
        <f aca="false">IF(C199="","",IFERROR(INDEX(Catálogo!$B$5:$B$2000,MATCH(C199,Catálogo!$A$5:$A$2000,0)),""))</f>
        <v/>
      </c>
      <c r="H199" s="11" t="str">
        <f aca="false">IF(C199="","",IFERROR(INDEX(Catálogo!$C$5:$C$2000,MATCH(C199,Catálogo!$A$5:$A$2000,0)),""))</f>
        <v/>
      </c>
      <c r="I199" s="11" t="str">
        <f aca="false">IF(D199="","",IF(D199&gt;UmbralAlarma,"Alarmante",IF(D199&gt;=UmbralRegular,"Regular","Bueno")))</f>
        <v/>
      </c>
      <c r="J199" s="11" t="str">
        <f aca="true">IF(COUNTA(A199:F199)=0,"",IF(OR(A199="",B199="",C199="",D199=""),"Faltan datos",IF(G199="","AP no está en el catálogo",IF(A199&gt;TODAY()+1,"Fecha futura",IF(OR(D199&lt;0,D199&lt;&gt;INT(D199)),"Usuarios no válidos",IF(AND(E199&lt;&gt;"",OR(E199&lt;0,E199&gt;1)),"Utilización fuera de 0-100%",IF(COUNTIFS($A$5:$A$604,A199,$B$5:$B$604,B199,$C$5:$C$604,C199)&gt;1,"Fila duplicada","OK")))))))</f>
        <v/>
      </c>
      <c r="K199" s="9"/>
    </row>
    <row r="200" customFormat="false" ht="15" hidden="false" customHeight="false" outlineLevel="0" collapsed="false">
      <c r="A200" s="7"/>
      <c r="B200" s="8"/>
      <c r="C200" s="9"/>
      <c r="D200" s="20"/>
      <c r="E200" s="10"/>
      <c r="F200" s="9"/>
      <c r="G200" s="11" t="str">
        <f aca="false">IF(C200="","",IFERROR(INDEX(Catálogo!$B$5:$B$2000,MATCH(C200,Catálogo!$A$5:$A$2000,0)),""))</f>
        <v/>
      </c>
      <c r="H200" s="11" t="str">
        <f aca="false">IF(C200="","",IFERROR(INDEX(Catálogo!$C$5:$C$2000,MATCH(C200,Catálogo!$A$5:$A$2000,0)),""))</f>
        <v/>
      </c>
      <c r="I200" s="11" t="str">
        <f aca="false">IF(D200="","",IF(D200&gt;UmbralAlarma,"Alarmante",IF(D200&gt;=UmbralRegular,"Regular","Bueno")))</f>
        <v/>
      </c>
      <c r="J200" s="11" t="str">
        <f aca="true">IF(COUNTA(A200:F200)=0,"",IF(OR(A200="",B200="",C200="",D200=""),"Faltan datos",IF(G200="","AP no está en el catálogo",IF(A200&gt;TODAY()+1,"Fecha futura",IF(OR(D200&lt;0,D200&lt;&gt;INT(D200)),"Usuarios no válidos",IF(AND(E200&lt;&gt;"",OR(E200&lt;0,E200&gt;1)),"Utilización fuera de 0-100%",IF(COUNTIFS($A$5:$A$604,A200,$B$5:$B$604,B200,$C$5:$C$604,C200)&gt;1,"Fila duplicada","OK")))))))</f>
        <v/>
      </c>
      <c r="K200" s="9"/>
    </row>
    <row r="201" customFormat="false" ht="15" hidden="false" customHeight="false" outlineLevel="0" collapsed="false">
      <c r="A201" s="7"/>
      <c r="B201" s="8"/>
      <c r="C201" s="9"/>
      <c r="D201" s="20"/>
      <c r="E201" s="10"/>
      <c r="F201" s="9"/>
      <c r="G201" s="11" t="str">
        <f aca="false">IF(C201="","",IFERROR(INDEX(Catálogo!$B$5:$B$2000,MATCH(C201,Catálogo!$A$5:$A$2000,0)),""))</f>
        <v/>
      </c>
      <c r="H201" s="11" t="str">
        <f aca="false">IF(C201="","",IFERROR(INDEX(Catálogo!$C$5:$C$2000,MATCH(C201,Catálogo!$A$5:$A$2000,0)),""))</f>
        <v/>
      </c>
      <c r="I201" s="11" t="str">
        <f aca="false">IF(D201="","",IF(D201&gt;UmbralAlarma,"Alarmante",IF(D201&gt;=UmbralRegular,"Regular","Bueno")))</f>
        <v/>
      </c>
      <c r="J201" s="11" t="str">
        <f aca="true">IF(COUNTA(A201:F201)=0,"",IF(OR(A201="",B201="",C201="",D201=""),"Faltan datos",IF(G201="","AP no está en el catálogo",IF(A201&gt;TODAY()+1,"Fecha futura",IF(OR(D201&lt;0,D201&lt;&gt;INT(D201)),"Usuarios no válidos",IF(AND(E201&lt;&gt;"",OR(E201&lt;0,E201&gt;1)),"Utilización fuera de 0-100%",IF(COUNTIFS($A$5:$A$604,A201,$B$5:$B$604,B201,$C$5:$C$604,C201)&gt;1,"Fila duplicada","OK")))))))</f>
        <v/>
      </c>
      <c r="K201" s="9"/>
    </row>
    <row r="202" customFormat="false" ht="15" hidden="false" customHeight="false" outlineLevel="0" collapsed="false">
      <c r="A202" s="7"/>
      <c r="B202" s="8"/>
      <c r="C202" s="9"/>
      <c r="D202" s="20"/>
      <c r="E202" s="10"/>
      <c r="F202" s="9"/>
      <c r="G202" s="11" t="str">
        <f aca="false">IF(C202="","",IFERROR(INDEX(Catálogo!$B$5:$B$2000,MATCH(C202,Catálogo!$A$5:$A$2000,0)),""))</f>
        <v/>
      </c>
      <c r="H202" s="11" t="str">
        <f aca="false">IF(C202="","",IFERROR(INDEX(Catálogo!$C$5:$C$2000,MATCH(C202,Catálogo!$A$5:$A$2000,0)),""))</f>
        <v/>
      </c>
      <c r="I202" s="11" t="str">
        <f aca="false">IF(D202="","",IF(D202&gt;UmbralAlarma,"Alarmante",IF(D202&gt;=UmbralRegular,"Regular","Bueno")))</f>
        <v/>
      </c>
      <c r="J202" s="11" t="str">
        <f aca="true">IF(COUNTA(A202:F202)=0,"",IF(OR(A202="",B202="",C202="",D202=""),"Faltan datos",IF(G202="","AP no está en el catálogo",IF(A202&gt;TODAY()+1,"Fecha futura",IF(OR(D202&lt;0,D202&lt;&gt;INT(D202)),"Usuarios no válidos",IF(AND(E202&lt;&gt;"",OR(E202&lt;0,E202&gt;1)),"Utilización fuera de 0-100%",IF(COUNTIFS($A$5:$A$604,A202,$B$5:$B$604,B202,$C$5:$C$604,C202)&gt;1,"Fila duplicada","OK")))))))</f>
        <v/>
      </c>
      <c r="K202" s="9"/>
    </row>
    <row r="203" customFormat="false" ht="15" hidden="false" customHeight="false" outlineLevel="0" collapsed="false">
      <c r="A203" s="7"/>
      <c r="B203" s="8"/>
      <c r="C203" s="9"/>
      <c r="D203" s="20"/>
      <c r="E203" s="10"/>
      <c r="F203" s="9"/>
      <c r="G203" s="11" t="str">
        <f aca="false">IF(C203="","",IFERROR(INDEX(Catálogo!$B$5:$B$2000,MATCH(C203,Catálogo!$A$5:$A$2000,0)),""))</f>
        <v/>
      </c>
      <c r="H203" s="11" t="str">
        <f aca="false">IF(C203="","",IFERROR(INDEX(Catálogo!$C$5:$C$2000,MATCH(C203,Catálogo!$A$5:$A$2000,0)),""))</f>
        <v/>
      </c>
      <c r="I203" s="11" t="str">
        <f aca="false">IF(D203="","",IF(D203&gt;UmbralAlarma,"Alarmante",IF(D203&gt;=UmbralRegular,"Regular","Bueno")))</f>
        <v/>
      </c>
      <c r="J203" s="11" t="str">
        <f aca="true">IF(COUNTA(A203:F203)=0,"",IF(OR(A203="",B203="",C203="",D203=""),"Faltan datos",IF(G203="","AP no está en el catálogo",IF(A203&gt;TODAY()+1,"Fecha futura",IF(OR(D203&lt;0,D203&lt;&gt;INT(D203)),"Usuarios no válidos",IF(AND(E203&lt;&gt;"",OR(E203&lt;0,E203&gt;1)),"Utilización fuera de 0-100%",IF(COUNTIFS($A$5:$A$604,A203,$B$5:$B$604,B203,$C$5:$C$604,C203)&gt;1,"Fila duplicada","OK")))))))</f>
        <v/>
      </c>
      <c r="K203" s="9"/>
    </row>
    <row r="204" customFormat="false" ht="15" hidden="false" customHeight="false" outlineLevel="0" collapsed="false">
      <c r="A204" s="7"/>
      <c r="B204" s="8"/>
      <c r="C204" s="9"/>
      <c r="D204" s="20"/>
      <c r="E204" s="10"/>
      <c r="F204" s="9"/>
      <c r="G204" s="11" t="str">
        <f aca="false">IF(C204="","",IFERROR(INDEX(Catálogo!$B$5:$B$2000,MATCH(C204,Catálogo!$A$5:$A$2000,0)),""))</f>
        <v/>
      </c>
      <c r="H204" s="11" t="str">
        <f aca="false">IF(C204="","",IFERROR(INDEX(Catálogo!$C$5:$C$2000,MATCH(C204,Catálogo!$A$5:$A$2000,0)),""))</f>
        <v/>
      </c>
      <c r="I204" s="11" t="str">
        <f aca="false">IF(D204="","",IF(D204&gt;UmbralAlarma,"Alarmante",IF(D204&gt;=UmbralRegular,"Regular","Bueno")))</f>
        <v/>
      </c>
      <c r="J204" s="11" t="str">
        <f aca="true">IF(COUNTA(A204:F204)=0,"",IF(OR(A204="",B204="",C204="",D204=""),"Faltan datos",IF(G204="","AP no está en el catálogo",IF(A204&gt;TODAY()+1,"Fecha futura",IF(OR(D204&lt;0,D204&lt;&gt;INT(D204)),"Usuarios no válidos",IF(AND(E204&lt;&gt;"",OR(E204&lt;0,E204&gt;1)),"Utilización fuera de 0-100%",IF(COUNTIFS($A$5:$A$604,A204,$B$5:$B$604,B204,$C$5:$C$604,C204)&gt;1,"Fila duplicada","OK")))))))</f>
        <v/>
      </c>
      <c r="K204" s="9"/>
    </row>
    <row r="205" customFormat="false" ht="15" hidden="false" customHeight="false" outlineLevel="0" collapsed="false">
      <c r="A205" s="7"/>
      <c r="B205" s="8"/>
      <c r="C205" s="9"/>
      <c r="D205" s="20"/>
      <c r="E205" s="10"/>
      <c r="F205" s="9"/>
      <c r="G205" s="11" t="str">
        <f aca="false">IF(C205="","",IFERROR(INDEX(Catálogo!$B$5:$B$2000,MATCH(C205,Catálogo!$A$5:$A$2000,0)),""))</f>
        <v/>
      </c>
      <c r="H205" s="11" t="str">
        <f aca="false">IF(C205="","",IFERROR(INDEX(Catálogo!$C$5:$C$2000,MATCH(C205,Catálogo!$A$5:$A$2000,0)),""))</f>
        <v/>
      </c>
      <c r="I205" s="11" t="str">
        <f aca="false">IF(D205="","",IF(D205&gt;UmbralAlarma,"Alarmante",IF(D205&gt;=UmbralRegular,"Regular","Bueno")))</f>
        <v/>
      </c>
      <c r="J205" s="11" t="str">
        <f aca="true">IF(COUNTA(A205:F205)=0,"",IF(OR(A205="",B205="",C205="",D205=""),"Faltan datos",IF(G205="","AP no está en el catálogo",IF(A205&gt;TODAY()+1,"Fecha futura",IF(OR(D205&lt;0,D205&lt;&gt;INT(D205)),"Usuarios no válidos",IF(AND(E205&lt;&gt;"",OR(E205&lt;0,E205&gt;1)),"Utilización fuera de 0-100%",IF(COUNTIFS($A$5:$A$604,A205,$B$5:$B$604,B205,$C$5:$C$604,C205)&gt;1,"Fila duplicada","OK")))))))</f>
        <v/>
      </c>
      <c r="K205" s="9"/>
    </row>
    <row r="206" customFormat="false" ht="15" hidden="false" customHeight="false" outlineLevel="0" collapsed="false">
      <c r="A206" s="7"/>
      <c r="B206" s="8"/>
      <c r="C206" s="9"/>
      <c r="D206" s="20"/>
      <c r="E206" s="10"/>
      <c r="F206" s="9"/>
      <c r="G206" s="11" t="str">
        <f aca="false">IF(C206="","",IFERROR(INDEX(Catálogo!$B$5:$B$2000,MATCH(C206,Catálogo!$A$5:$A$2000,0)),""))</f>
        <v/>
      </c>
      <c r="H206" s="11" t="str">
        <f aca="false">IF(C206="","",IFERROR(INDEX(Catálogo!$C$5:$C$2000,MATCH(C206,Catálogo!$A$5:$A$2000,0)),""))</f>
        <v/>
      </c>
      <c r="I206" s="11" t="str">
        <f aca="false">IF(D206="","",IF(D206&gt;UmbralAlarma,"Alarmante",IF(D206&gt;=UmbralRegular,"Regular","Bueno")))</f>
        <v/>
      </c>
      <c r="J206" s="11" t="str">
        <f aca="true">IF(COUNTA(A206:F206)=0,"",IF(OR(A206="",B206="",C206="",D206=""),"Faltan datos",IF(G206="","AP no está en el catálogo",IF(A206&gt;TODAY()+1,"Fecha futura",IF(OR(D206&lt;0,D206&lt;&gt;INT(D206)),"Usuarios no válidos",IF(AND(E206&lt;&gt;"",OR(E206&lt;0,E206&gt;1)),"Utilización fuera de 0-100%",IF(COUNTIFS($A$5:$A$604,A206,$B$5:$B$604,B206,$C$5:$C$604,C206)&gt;1,"Fila duplicada","OK")))))))</f>
        <v/>
      </c>
      <c r="K206" s="9"/>
    </row>
    <row r="207" customFormat="false" ht="15" hidden="false" customHeight="false" outlineLevel="0" collapsed="false">
      <c r="A207" s="7"/>
      <c r="B207" s="8"/>
      <c r="C207" s="9"/>
      <c r="D207" s="20"/>
      <c r="E207" s="10"/>
      <c r="F207" s="9"/>
      <c r="G207" s="11" t="str">
        <f aca="false">IF(C207="","",IFERROR(INDEX(Catálogo!$B$5:$B$2000,MATCH(C207,Catálogo!$A$5:$A$2000,0)),""))</f>
        <v/>
      </c>
      <c r="H207" s="11" t="str">
        <f aca="false">IF(C207="","",IFERROR(INDEX(Catálogo!$C$5:$C$2000,MATCH(C207,Catálogo!$A$5:$A$2000,0)),""))</f>
        <v/>
      </c>
      <c r="I207" s="11" t="str">
        <f aca="false">IF(D207="","",IF(D207&gt;UmbralAlarma,"Alarmante",IF(D207&gt;=UmbralRegular,"Regular","Bueno")))</f>
        <v/>
      </c>
      <c r="J207" s="11" t="str">
        <f aca="true">IF(COUNTA(A207:F207)=0,"",IF(OR(A207="",B207="",C207="",D207=""),"Faltan datos",IF(G207="","AP no está en el catálogo",IF(A207&gt;TODAY()+1,"Fecha futura",IF(OR(D207&lt;0,D207&lt;&gt;INT(D207)),"Usuarios no válidos",IF(AND(E207&lt;&gt;"",OR(E207&lt;0,E207&gt;1)),"Utilización fuera de 0-100%",IF(COUNTIFS($A$5:$A$604,A207,$B$5:$B$604,B207,$C$5:$C$604,C207)&gt;1,"Fila duplicada","OK")))))))</f>
        <v/>
      </c>
      <c r="K207" s="9"/>
    </row>
    <row r="208" customFormat="false" ht="15" hidden="false" customHeight="false" outlineLevel="0" collapsed="false">
      <c r="A208" s="7"/>
      <c r="B208" s="8"/>
      <c r="C208" s="9"/>
      <c r="D208" s="20"/>
      <c r="E208" s="10"/>
      <c r="F208" s="9"/>
      <c r="G208" s="11" t="str">
        <f aca="false">IF(C208="","",IFERROR(INDEX(Catálogo!$B$5:$B$2000,MATCH(C208,Catálogo!$A$5:$A$2000,0)),""))</f>
        <v/>
      </c>
      <c r="H208" s="11" t="str">
        <f aca="false">IF(C208="","",IFERROR(INDEX(Catálogo!$C$5:$C$2000,MATCH(C208,Catálogo!$A$5:$A$2000,0)),""))</f>
        <v/>
      </c>
      <c r="I208" s="11" t="str">
        <f aca="false">IF(D208="","",IF(D208&gt;UmbralAlarma,"Alarmante",IF(D208&gt;=UmbralRegular,"Regular","Bueno")))</f>
        <v/>
      </c>
      <c r="J208" s="11" t="str">
        <f aca="true">IF(COUNTA(A208:F208)=0,"",IF(OR(A208="",B208="",C208="",D208=""),"Faltan datos",IF(G208="","AP no está en el catálogo",IF(A208&gt;TODAY()+1,"Fecha futura",IF(OR(D208&lt;0,D208&lt;&gt;INT(D208)),"Usuarios no válidos",IF(AND(E208&lt;&gt;"",OR(E208&lt;0,E208&gt;1)),"Utilización fuera de 0-100%",IF(COUNTIFS($A$5:$A$604,A208,$B$5:$B$604,B208,$C$5:$C$604,C208)&gt;1,"Fila duplicada","OK")))))))</f>
        <v/>
      </c>
      <c r="K208" s="9"/>
    </row>
    <row r="209" customFormat="false" ht="15" hidden="false" customHeight="false" outlineLevel="0" collapsed="false">
      <c r="A209" s="7"/>
      <c r="B209" s="8"/>
      <c r="C209" s="9"/>
      <c r="D209" s="20"/>
      <c r="E209" s="10"/>
      <c r="F209" s="9"/>
      <c r="G209" s="11" t="str">
        <f aca="false">IF(C209="","",IFERROR(INDEX(Catálogo!$B$5:$B$2000,MATCH(C209,Catálogo!$A$5:$A$2000,0)),""))</f>
        <v/>
      </c>
      <c r="H209" s="11" t="str">
        <f aca="false">IF(C209="","",IFERROR(INDEX(Catálogo!$C$5:$C$2000,MATCH(C209,Catálogo!$A$5:$A$2000,0)),""))</f>
        <v/>
      </c>
      <c r="I209" s="11" t="str">
        <f aca="false">IF(D209="","",IF(D209&gt;UmbralAlarma,"Alarmante",IF(D209&gt;=UmbralRegular,"Regular","Bueno")))</f>
        <v/>
      </c>
      <c r="J209" s="11" t="str">
        <f aca="true">IF(COUNTA(A209:F209)=0,"",IF(OR(A209="",B209="",C209="",D209=""),"Faltan datos",IF(G209="","AP no está en el catálogo",IF(A209&gt;TODAY()+1,"Fecha futura",IF(OR(D209&lt;0,D209&lt;&gt;INT(D209)),"Usuarios no válidos",IF(AND(E209&lt;&gt;"",OR(E209&lt;0,E209&gt;1)),"Utilización fuera de 0-100%",IF(COUNTIFS($A$5:$A$604,A209,$B$5:$B$604,B209,$C$5:$C$604,C209)&gt;1,"Fila duplicada","OK")))))))</f>
        <v/>
      </c>
      <c r="K209" s="9"/>
    </row>
    <row r="210" customFormat="false" ht="15" hidden="false" customHeight="false" outlineLevel="0" collapsed="false">
      <c r="A210" s="7"/>
      <c r="B210" s="8"/>
      <c r="C210" s="9"/>
      <c r="D210" s="20"/>
      <c r="E210" s="10"/>
      <c r="F210" s="9"/>
      <c r="G210" s="11" t="str">
        <f aca="false">IF(C210="","",IFERROR(INDEX(Catálogo!$B$5:$B$2000,MATCH(C210,Catálogo!$A$5:$A$2000,0)),""))</f>
        <v/>
      </c>
      <c r="H210" s="11" t="str">
        <f aca="false">IF(C210="","",IFERROR(INDEX(Catálogo!$C$5:$C$2000,MATCH(C210,Catálogo!$A$5:$A$2000,0)),""))</f>
        <v/>
      </c>
      <c r="I210" s="11" t="str">
        <f aca="false">IF(D210="","",IF(D210&gt;UmbralAlarma,"Alarmante",IF(D210&gt;=UmbralRegular,"Regular","Bueno")))</f>
        <v/>
      </c>
      <c r="J210" s="11" t="str">
        <f aca="true">IF(COUNTA(A210:F210)=0,"",IF(OR(A210="",B210="",C210="",D210=""),"Faltan datos",IF(G210="","AP no está en el catálogo",IF(A210&gt;TODAY()+1,"Fecha futura",IF(OR(D210&lt;0,D210&lt;&gt;INT(D210)),"Usuarios no válidos",IF(AND(E210&lt;&gt;"",OR(E210&lt;0,E210&gt;1)),"Utilización fuera de 0-100%",IF(COUNTIFS($A$5:$A$604,A210,$B$5:$B$604,B210,$C$5:$C$604,C210)&gt;1,"Fila duplicada","OK")))))))</f>
        <v/>
      </c>
      <c r="K210" s="9"/>
    </row>
    <row r="211" customFormat="false" ht="15" hidden="false" customHeight="false" outlineLevel="0" collapsed="false">
      <c r="A211" s="7"/>
      <c r="B211" s="8"/>
      <c r="C211" s="9"/>
      <c r="D211" s="20"/>
      <c r="E211" s="10"/>
      <c r="F211" s="9"/>
      <c r="G211" s="11" t="str">
        <f aca="false">IF(C211="","",IFERROR(INDEX(Catálogo!$B$5:$B$2000,MATCH(C211,Catálogo!$A$5:$A$2000,0)),""))</f>
        <v/>
      </c>
      <c r="H211" s="11" t="str">
        <f aca="false">IF(C211="","",IFERROR(INDEX(Catálogo!$C$5:$C$2000,MATCH(C211,Catálogo!$A$5:$A$2000,0)),""))</f>
        <v/>
      </c>
      <c r="I211" s="11" t="str">
        <f aca="false">IF(D211="","",IF(D211&gt;UmbralAlarma,"Alarmante",IF(D211&gt;=UmbralRegular,"Regular","Bueno")))</f>
        <v/>
      </c>
      <c r="J211" s="11" t="str">
        <f aca="true">IF(COUNTA(A211:F211)=0,"",IF(OR(A211="",B211="",C211="",D211=""),"Faltan datos",IF(G211="","AP no está en el catálogo",IF(A211&gt;TODAY()+1,"Fecha futura",IF(OR(D211&lt;0,D211&lt;&gt;INT(D211)),"Usuarios no válidos",IF(AND(E211&lt;&gt;"",OR(E211&lt;0,E211&gt;1)),"Utilización fuera de 0-100%",IF(COUNTIFS($A$5:$A$604,A211,$B$5:$B$604,B211,$C$5:$C$604,C211)&gt;1,"Fila duplicada","OK")))))))</f>
        <v/>
      </c>
      <c r="K211" s="9"/>
    </row>
    <row r="212" customFormat="false" ht="15" hidden="false" customHeight="false" outlineLevel="0" collapsed="false">
      <c r="A212" s="7"/>
      <c r="B212" s="8"/>
      <c r="C212" s="9"/>
      <c r="D212" s="20"/>
      <c r="E212" s="10"/>
      <c r="F212" s="9"/>
      <c r="G212" s="11" t="str">
        <f aca="false">IF(C212="","",IFERROR(INDEX(Catálogo!$B$5:$B$2000,MATCH(C212,Catálogo!$A$5:$A$2000,0)),""))</f>
        <v/>
      </c>
      <c r="H212" s="11" t="str">
        <f aca="false">IF(C212="","",IFERROR(INDEX(Catálogo!$C$5:$C$2000,MATCH(C212,Catálogo!$A$5:$A$2000,0)),""))</f>
        <v/>
      </c>
      <c r="I212" s="11" t="str">
        <f aca="false">IF(D212="","",IF(D212&gt;UmbralAlarma,"Alarmante",IF(D212&gt;=UmbralRegular,"Regular","Bueno")))</f>
        <v/>
      </c>
      <c r="J212" s="11" t="str">
        <f aca="true">IF(COUNTA(A212:F212)=0,"",IF(OR(A212="",B212="",C212="",D212=""),"Faltan datos",IF(G212="","AP no está en el catálogo",IF(A212&gt;TODAY()+1,"Fecha futura",IF(OR(D212&lt;0,D212&lt;&gt;INT(D212)),"Usuarios no válidos",IF(AND(E212&lt;&gt;"",OR(E212&lt;0,E212&gt;1)),"Utilización fuera de 0-100%",IF(COUNTIFS($A$5:$A$604,A212,$B$5:$B$604,B212,$C$5:$C$604,C212)&gt;1,"Fila duplicada","OK")))))))</f>
        <v/>
      </c>
      <c r="K212" s="9"/>
    </row>
    <row r="213" customFormat="false" ht="15" hidden="false" customHeight="false" outlineLevel="0" collapsed="false">
      <c r="A213" s="7"/>
      <c r="B213" s="8"/>
      <c r="C213" s="9"/>
      <c r="D213" s="20"/>
      <c r="E213" s="10"/>
      <c r="F213" s="9"/>
      <c r="G213" s="11" t="str">
        <f aca="false">IF(C213="","",IFERROR(INDEX(Catálogo!$B$5:$B$2000,MATCH(C213,Catálogo!$A$5:$A$2000,0)),""))</f>
        <v/>
      </c>
      <c r="H213" s="11" t="str">
        <f aca="false">IF(C213="","",IFERROR(INDEX(Catálogo!$C$5:$C$2000,MATCH(C213,Catálogo!$A$5:$A$2000,0)),""))</f>
        <v/>
      </c>
      <c r="I213" s="11" t="str">
        <f aca="false">IF(D213="","",IF(D213&gt;UmbralAlarma,"Alarmante",IF(D213&gt;=UmbralRegular,"Regular","Bueno")))</f>
        <v/>
      </c>
      <c r="J213" s="11" t="str">
        <f aca="true">IF(COUNTA(A213:F213)=0,"",IF(OR(A213="",B213="",C213="",D213=""),"Faltan datos",IF(G213="","AP no está en el catálogo",IF(A213&gt;TODAY()+1,"Fecha futura",IF(OR(D213&lt;0,D213&lt;&gt;INT(D213)),"Usuarios no válidos",IF(AND(E213&lt;&gt;"",OR(E213&lt;0,E213&gt;1)),"Utilización fuera de 0-100%",IF(COUNTIFS($A$5:$A$604,A213,$B$5:$B$604,B213,$C$5:$C$604,C213)&gt;1,"Fila duplicada","OK")))))))</f>
        <v/>
      </c>
      <c r="K213" s="9"/>
    </row>
    <row r="214" customFormat="false" ht="15" hidden="false" customHeight="false" outlineLevel="0" collapsed="false">
      <c r="A214" s="7"/>
      <c r="B214" s="8"/>
      <c r="C214" s="9"/>
      <c r="D214" s="20"/>
      <c r="E214" s="10"/>
      <c r="F214" s="9"/>
      <c r="G214" s="11" t="str">
        <f aca="false">IF(C214="","",IFERROR(INDEX(Catálogo!$B$5:$B$2000,MATCH(C214,Catálogo!$A$5:$A$2000,0)),""))</f>
        <v/>
      </c>
      <c r="H214" s="11" t="str">
        <f aca="false">IF(C214="","",IFERROR(INDEX(Catálogo!$C$5:$C$2000,MATCH(C214,Catálogo!$A$5:$A$2000,0)),""))</f>
        <v/>
      </c>
      <c r="I214" s="11" t="str">
        <f aca="false">IF(D214="","",IF(D214&gt;UmbralAlarma,"Alarmante",IF(D214&gt;=UmbralRegular,"Regular","Bueno")))</f>
        <v/>
      </c>
      <c r="J214" s="11" t="str">
        <f aca="true">IF(COUNTA(A214:F214)=0,"",IF(OR(A214="",B214="",C214="",D214=""),"Faltan datos",IF(G214="","AP no está en el catálogo",IF(A214&gt;TODAY()+1,"Fecha futura",IF(OR(D214&lt;0,D214&lt;&gt;INT(D214)),"Usuarios no válidos",IF(AND(E214&lt;&gt;"",OR(E214&lt;0,E214&gt;1)),"Utilización fuera de 0-100%",IF(COUNTIFS($A$5:$A$604,A214,$B$5:$B$604,B214,$C$5:$C$604,C214)&gt;1,"Fila duplicada","OK")))))))</f>
        <v/>
      </c>
      <c r="K214" s="9"/>
    </row>
    <row r="215" customFormat="false" ht="15" hidden="false" customHeight="false" outlineLevel="0" collapsed="false">
      <c r="A215" s="7"/>
      <c r="B215" s="8"/>
      <c r="C215" s="9"/>
      <c r="D215" s="20"/>
      <c r="E215" s="10"/>
      <c r="F215" s="9"/>
      <c r="G215" s="11" t="str">
        <f aca="false">IF(C215="","",IFERROR(INDEX(Catálogo!$B$5:$B$2000,MATCH(C215,Catálogo!$A$5:$A$2000,0)),""))</f>
        <v/>
      </c>
      <c r="H215" s="11" t="str">
        <f aca="false">IF(C215="","",IFERROR(INDEX(Catálogo!$C$5:$C$2000,MATCH(C215,Catálogo!$A$5:$A$2000,0)),""))</f>
        <v/>
      </c>
      <c r="I215" s="11" t="str">
        <f aca="false">IF(D215="","",IF(D215&gt;UmbralAlarma,"Alarmante",IF(D215&gt;=UmbralRegular,"Regular","Bueno")))</f>
        <v/>
      </c>
      <c r="J215" s="11" t="str">
        <f aca="true">IF(COUNTA(A215:F215)=0,"",IF(OR(A215="",B215="",C215="",D215=""),"Faltan datos",IF(G215="","AP no está en el catálogo",IF(A215&gt;TODAY()+1,"Fecha futura",IF(OR(D215&lt;0,D215&lt;&gt;INT(D215)),"Usuarios no válidos",IF(AND(E215&lt;&gt;"",OR(E215&lt;0,E215&gt;1)),"Utilización fuera de 0-100%",IF(COUNTIFS($A$5:$A$604,A215,$B$5:$B$604,B215,$C$5:$C$604,C215)&gt;1,"Fila duplicada","OK")))))))</f>
        <v/>
      </c>
      <c r="K215" s="9"/>
    </row>
    <row r="216" customFormat="false" ht="15" hidden="false" customHeight="false" outlineLevel="0" collapsed="false">
      <c r="A216" s="7"/>
      <c r="B216" s="8"/>
      <c r="C216" s="9"/>
      <c r="D216" s="20"/>
      <c r="E216" s="10"/>
      <c r="F216" s="9"/>
      <c r="G216" s="11" t="str">
        <f aca="false">IF(C216="","",IFERROR(INDEX(Catálogo!$B$5:$B$2000,MATCH(C216,Catálogo!$A$5:$A$2000,0)),""))</f>
        <v/>
      </c>
      <c r="H216" s="11" t="str">
        <f aca="false">IF(C216="","",IFERROR(INDEX(Catálogo!$C$5:$C$2000,MATCH(C216,Catálogo!$A$5:$A$2000,0)),""))</f>
        <v/>
      </c>
      <c r="I216" s="11" t="str">
        <f aca="false">IF(D216="","",IF(D216&gt;UmbralAlarma,"Alarmante",IF(D216&gt;=UmbralRegular,"Regular","Bueno")))</f>
        <v/>
      </c>
      <c r="J216" s="11" t="str">
        <f aca="true">IF(COUNTA(A216:F216)=0,"",IF(OR(A216="",B216="",C216="",D216=""),"Faltan datos",IF(G216="","AP no está en el catálogo",IF(A216&gt;TODAY()+1,"Fecha futura",IF(OR(D216&lt;0,D216&lt;&gt;INT(D216)),"Usuarios no válidos",IF(AND(E216&lt;&gt;"",OR(E216&lt;0,E216&gt;1)),"Utilización fuera de 0-100%",IF(COUNTIFS($A$5:$A$604,A216,$B$5:$B$604,B216,$C$5:$C$604,C216)&gt;1,"Fila duplicada","OK")))))))</f>
        <v/>
      </c>
      <c r="K216" s="9"/>
    </row>
    <row r="217" customFormat="false" ht="15" hidden="false" customHeight="false" outlineLevel="0" collapsed="false">
      <c r="A217" s="7"/>
      <c r="B217" s="8"/>
      <c r="C217" s="9"/>
      <c r="D217" s="20"/>
      <c r="E217" s="10"/>
      <c r="F217" s="9"/>
      <c r="G217" s="11" t="str">
        <f aca="false">IF(C217="","",IFERROR(INDEX(Catálogo!$B$5:$B$2000,MATCH(C217,Catálogo!$A$5:$A$2000,0)),""))</f>
        <v/>
      </c>
      <c r="H217" s="11" t="str">
        <f aca="false">IF(C217="","",IFERROR(INDEX(Catálogo!$C$5:$C$2000,MATCH(C217,Catálogo!$A$5:$A$2000,0)),""))</f>
        <v/>
      </c>
      <c r="I217" s="11" t="str">
        <f aca="false">IF(D217="","",IF(D217&gt;UmbralAlarma,"Alarmante",IF(D217&gt;=UmbralRegular,"Regular","Bueno")))</f>
        <v/>
      </c>
      <c r="J217" s="11" t="str">
        <f aca="true">IF(COUNTA(A217:F217)=0,"",IF(OR(A217="",B217="",C217="",D217=""),"Faltan datos",IF(G217="","AP no está en el catálogo",IF(A217&gt;TODAY()+1,"Fecha futura",IF(OR(D217&lt;0,D217&lt;&gt;INT(D217)),"Usuarios no válidos",IF(AND(E217&lt;&gt;"",OR(E217&lt;0,E217&gt;1)),"Utilización fuera de 0-100%",IF(COUNTIFS($A$5:$A$604,A217,$B$5:$B$604,B217,$C$5:$C$604,C217)&gt;1,"Fila duplicada","OK")))))))</f>
        <v/>
      </c>
      <c r="K217" s="9"/>
    </row>
    <row r="218" customFormat="false" ht="15" hidden="false" customHeight="false" outlineLevel="0" collapsed="false">
      <c r="A218" s="7"/>
      <c r="B218" s="8"/>
      <c r="C218" s="9"/>
      <c r="D218" s="20"/>
      <c r="E218" s="10"/>
      <c r="F218" s="9"/>
      <c r="G218" s="11" t="str">
        <f aca="false">IF(C218="","",IFERROR(INDEX(Catálogo!$B$5:$B$2000,MATCH(C218,Catálogo!$A$5:$A$2000,0)),""))</f>
        <v/>
      </c>
      <c r="H218" s="11" t="str">
        <f aca="false">IF(C218="","",IFERROR(INDEX(Catálogo!$C$5:$C$2000,MATCH(C218,Catálogo!$A$5:$A$2000,0)),""))</f>
        <v/>
      </c>
      <c r="I218" s="11" t="str">
        <f aca="false">IF(D218="","",IF(D218&gt;UmbralAlarma,"Alarmante",IF(D218&gt;=UmbralRegular,"Regular","Bueno")))</f>
        <v/>
      </c>
      <c r="J218" s="11" t="str">
        <f aca="true">IF(COUNTA(A218:F218)=0,"",IF(OR(A218="",B218="",C218="",D218=""),"Faltan datos",IF(G218="","AP no está en el catálogo",IF(A218&gt;TODAY()+1,"Fecha futura",IF(OR(D218&lt;0,D218&lt;&gt;INT(D218)),"Usuarios no válidos",IF(AND(E218&lt;&gt;"",OR(E218&lt;0,E218&gt;1)),"Utilización fuera de 0-100%",IF(COUNTIFS($A$5:$A$604,A218,$B$5:$B$604,B218,$C$5:$C$604,C218)&gt;1,"Fila duplicada","OK")))))))</f>
        <v/>
      </c>
      <c r="K218" s="9"/>
    </row>
    <row r="219" customFormat="false" ht="15" hidden="false" customHeight="false" outlineLevel="0" collapsed="false">
      <c r="A219" s="7"/>
      <c r="B219" s="8"/>
      <c r="C219" s="9"/>
      <c r="D219" s="20"/>
      <c r="E219" s="10"/>
      <c r="F219" s="9"/>
      <c r="G219" s="11" t="str">
        <f aca="false">IF(C219="","",IFERROR(INDEX(Catálogo!$B$5:$B$2000,MATCH(C219,Catálogo!$A$5:$A$2000,0)),""))</f>
        <v/>
      </c>
      <c r="H219" s="11" t="str">
        <f aca="false">IF(C219="","",IFERROR(INDEX(Catálogo!$C$5:$C$2000,MATCH(C219,Catálogo!$A$5:$A$2000,0)),""))</f>
        <v/>
      </c>
      <c r="I219" s="11" t="str">
        <f aca="false">IF(D219="","",IF(D219&gt;UmbralAlarma,"Alarmante",IF(D219&gt;=UmbralRegular,"Regular","Bueno")))</f>
        <v/>
      </c>
      <c r="J219" s="11" t="str">
        <f aca="true">IF(COUNTA(A219:F219)=0,"",IF(OR(A219="",B219="",C219="",D219=""),"Faltan datos",IF(G219="","AP no está en el catálogo",IF(A219&gt;TODAY()+1,"Fecha futura",IF(OR(D219&lt;0,D219&lt;&gt;INT(D219)),"Usuarios no válidos",IF(AND(E219&lt;&gt;"",OR(E219&lt;0,E219&gt;1)),"Utilización fuera de 0-100%",IF(COUNTIFS($A$5:$A$604,A219,$B$5:$B$604,B219,$C$5:$C$604,C219)&gt;1,"Fila duplicada","OK")))))))</f>
        <v/>
      </c>
      <c r="K219" s="9"/>
    </row>
    <row r="220" customFormat="false" ht="15" hidden="false" customHeight="false" outlineLevel="0" collapsed="false">
      <c r="A220" s="7"/>
      <c r="B220" s="8"/>
      <c r="C220" s="9"/>
      <c r="D220" s="20"/>
      <c r="E220" s="10"/>
      <c r="F220" s="9"/>
      <c r="G220" s="11" t="str">
        <f aca="false">IF(C220="","",IFERROR(INDEX(Catálogo!$B$5:$B$2000,MATCH(C220,Catálogo!$A$5:$A$2000,0)),""))</f>
        <v/>
      </c>
      <c r="H220" s="11" t="str">
        <f aca="false">IF(C220="","",IFERROR(INDEX(Catálogo!$C$5:$C$2000,MATCH(C220,Catálogo!$A$5:$A$2000,0)),""))</f>
        <v/>
      </c>
      <c r="I220" s="11" t="str">
        <f aca="false">IF(D220="","",IF(D220&gt;UmbralAlarma,"Alarmante",IF(D220&gt;=UmbralRegular,"Regular","Bueno")))</f>
        <v/>
      </c>
      <c r="J220" s="11" t="str">
        <f aca="true">IF(COUNTA(A220:F220)=0,"",IF(OR(A220="",B220="",C220="",D220=""),"Faltan datos",IF(G220="","AP no está en el catálogo",IF(A220&gt;TODAY()+1,"Fecha futura",IF(OR(D220&lt;0,D220&lt;&gt;INT(D220)),"Usuarios no válidos",IF(AND(E220&lt;&gt;"",OR(E220&lt;0,E220&gt;1)),"Utilización fuera de 0-100%",IF(COUNTIFS($A$5:$A$604,A220,$B$5:$B$604,B220,$C$5:$C$604,C220)&gt;1,"Fila duplicada","OK")))))))</f>
        <v/>
      </c>
      <c r="K220" s="9"/>
    </row>
    <row r="221" customFormat="false" ht="15" hidden="false" customHeight="false" outlineLevel="0" collapsed="false">
      <c r="A221" s="7"/>
      <c r="B221" s="8"/>
      <c r="C221" s="9"/>
      <c r="D221" s="20"/>
      <c r="E221" s="10"/>
      <c r="F221" s="9"/>
      <c r="G221" s="11" t="str">
        <f aca="false">IF(C221="","",IFERROR(INDEX(Catálogo!$B$5:$B$2000,MATCH(C221,Catálogo!$A$5:$A$2000,0)),""))</f>
        <v/>
      </c>
      <c r="H221" s="11" t="str">
        <f aca="false">IF(C221="","",IFERROR(INDEX(Catálogo!$C$5:$C$2000,MATCH(C221,Catálogo!$A$5:$A$2000,0)),""))</f>
        <v/>
      </c>
      <c r="I221" s="11" t="str">
        <f aca="false">IF(D221="","",IF(D221&gt;UmbralAlarma,"Alarmante",IF(D221&gt;=UmbralRegular,"Regular","Bueno")))</f>
        <v/>
      </c>
      <c r="J221" s="11" t="str">
        <f aca="true">IF(COUNTA(A221:F221)=0,"",IF(OR(A221="",B221="",C221="",D221=""),"Faltan datos",IF(G221="","AP no está en el catálogo",IF(A221&gt;TODAY()+1,"Fecha futura",IF(OR(D221&lt;0,D221&lt;&gt;INT(D221)),"Usuarios no válidos",IF(AND(E221&lt;&gt;"",OR(E221&lt;0,E221&gt;1)),"Utilización fuera de 0-100%",IF(COUNTIFS($A$5:$A$604,A221,$B$5:$B$604,B221,$C$5:$C$604,C221)&gt;1,"Fila duplicada","OK")))))))</f>
        <v/>
      </c>
      <c r="K221" s="9"/>
    </row>
    <row r="222" customFormat="false" ht="15" hidden="false" customHeight="false" outlineLevel="0" collapsed="false">
      <c r="A222" s="7"/>
      <c r="B222" s="8"/>
      <c r="C222" s="9"/>
      <c r="D222" s="20"/>
      <c r="E222" s="10"/>
      <c r="F222" s="9"/>
      <c r="G222" s="11" t="str">
        <f aca="false">IF(C222="","",IFERROR(INDEX(Catálogo!$B$5:$B$2000,MATCH(C222,Catálogo!$A$5:$A$2000,0)),""))</f>
        <v/>
      </c>
      <c r="H222" s="11" t="str">
        <f aca="false">IF(C222="","",IFERROR(INDEX(Catálogo!$C$5:$C$2000,MATCH(C222,Catálogo!$A$5:$A$2000,0)),""))</f>
        <v/>
      </c>
      <c r="I222" s="11" t="str">
        <f aca="false">IF(D222="","",IF(D222&gt;UmbralAlarma,"Alarmante",IF(D222&gt;=UmbralRegular,"Regular","Bueno")))</f>
        <v/>
      </c>
      <c r="J222" s="11" t="str">
        <f aca="true">IF(COUNTA(A222:F222)=0,"",IF(OR(A222="",B222="",C222="",D222=""),"Faltan datos",IF(G222="","AP no está en el catálogo",IF(A222&gt;TODAY()+1,"Fecha futura",IF(OR(D222&lt;0,D222&lt;&gt;INT(D222)),"Usuarios no válidos",IF(AND(E222&lt;&gt;"",OR(E222&lt;0,E222&gt;1)),"Utilización fuera de 0-100%",IF(COUNTIFS($A$5:$A$604,A222,$B$5:$B$604,B222,$C$5:$C$604,C222)&gt;1,"Fila duplicada","OK")))))))</f>
        <v/>
      </c>
      <c r="K222" s="9"/>
    </row>
    <row r="223" customFormat="false" ht="15" hidden="false" customHeight="false" outlineLevel="0" collapsed="false">
      <c r="A223" s="7"/>
      <c r="B223" s="8"/>
      <c r="C223" s="9"/>
      <c r="D223" s="20"/>
      <c r="E223" s="10"/>
      <c r="F223" s="9"/>
      <c r="G223" s="11" t="str">
        <f aca="false">IF(C223="","",IFERROR(INDEX(Catálogo!$B$5:$B$2000,MATCH(C223,Catálogo!$A$5:$A$2000,0)),""))</f>
        <v/>
      </c>
      <c r="H223" s="11" t="str">
        <f aca="false">IF(C223="","",IFERROR(INDEX(Catálogo!$C$5:$C$2000,MATCH(C223,Catálogo!$A$5:$A$2000,0)),""))</f>
        <v/>
      </c>
      <c r="I223" s="11" t="str">
        <f aca="false">IF(D223="","",IF(D223&gt;UmbralAlarma,"Alarmante",IF(D223&gt;=UmbralRegular,"Regular","Bueno")))</f>
        <v/>
      </c>
      <c r="J223" s="11" t="str">
        <f aca="true">IF(COUNTA(A223:F223)=0,"",IF(OR(A223="",B223="",C223="",D223=""),"Faltan datos",IF(G223="","AP no está en el catálogo",IF(A223&gt;TODAY()+1,"Fecha futura",IF(OR(D223&lt;0,D223&lt;&gt;INT(D223)),"Usuarios no válidos",IF(AND(E223&lt;&gt;"",OR(E223&lt;0,E223&gt;1)),"Utilización fuera de 0-100%",IF(COUNTIFS($A$5:$A$604,A223,$B$5:$B$604,B223,$C$5:$C$604,C223)&gt;1,"Fila duplicada","OK")))))))</f>
        <v/>
      </c>
      <c r="K223" s="9"/>
    </row>
    <row r="224" customFormat="false" ht="15" hidden="false" customHeight="false" outlineLevel="0" collapsed="false">
      <c r="A224" s="7"/>
      <c r="B224" s="8"/>
      <c r="C224" s="9"/>
      <c r="D224" s="20"/>
      <c r="E224" s="10"/>
      <c r="F224" s="9"/>
      <c r="G224" s="11" t="str">
        <f aca="false">IF(C224="","",IFERROR(INDEX(Catálogo!$B$5:$B$2000,MATCH(C224,Catálogo!$A$5:$A$2000,0)),""))</f>
        <v/>
      </c>
      <c r="H224" s="11" t="str">
        <f aca="false">IF(C224="","",IFERROR(INDEX(Catálogo!$C$5:$C$2000,MATCH(C224,Catálogo!$A$5:$A$2000,0)),""))</f>
        <v/>
      </c>
      <c r="I224" s="11" t="str">
        <f aca="false">IF(D224="","",IF(D224&gt;UmbralAlarma,"Alarmante",IF(D224&gt;=UmbralRegular,"Regular","Bueno")))</f>
        <v/>
      </c>
      <c r="J224" s="11" t="str">
        <f aca="true">IF(COUNTA(A224:F224)=0,"",IF(OR(A224="",B224="",C224="",D224=""),"Faltan datos",IF(G224="","AP no está en el catálogo",IF(A224&gt;TODAY()+1,"Fecha futura",IF(OR(D224&lt;0,D224&lt;&gt;INT(D224)),"Usuarios no válidos",IF(AND(E224&lt;&gt;"",OR(E224&lt;0,E224&gt;1)),"Utilización fuera de 0-100%",IF(COUNTIFS($A$5:$A$604,A224,$B$5:$B$604,B224,$C$5:$C$604,C224)&gt;1,"Fila duplicada","OK")))))))</f>
        <v/>
      </c>
      <c r="K224" s="9"/>
    </row>
    <row r="225" customFormat="false" ht="15" hidden="false" customHeight="false" outlineLevel="0" collapsed="false">
      <c r="A225" s="7"/>
      <c r="B225" s="8"/>
      <c r="C225" s="9"/>
      <c r="D225" s="20"/>
      <c r="E225" s="10"/>
      <c r="F225" s="9"/>
      <c r="G225" s="11" t="str">
        <f aca="false">IF(C225="","",IFERROR(INDEX(Catálogo!$B$5:$B$2000,MATCH(C225,Catálogo!$A$5:$A$2000,0)),""))</f>
        <v/>
      </c>
      <c r="H225" s="11" t="str">
        <f aca="false">IF(C225="","",IFERROR(INDEX(Catálogo!$C$5:$C$2000,MATCH(C225,Catálogo!$A$5:$A$2000,0)),""))</f>
        <v/>
      </c>
      <c r="I225" s="11" t="str">
        <f aca="false">IF(D225="","",IF(D225&gt;UmbralAlarma,"Alarmante",IF(D225&gt;=UmbralRegular,"Regular","Bueno")))</f>
        <v/>
      </c>
      <c r="J225" s="11" t="str">
        <f aca="true">IF(COUNTA(A225:F225)=0,"",IF(OR(A225="",B225="",C225="",D225=""),"Faltan datos",IF(G225="","AP no está en el catálogo",IF(A225&gt;TODAY()+1,"Fecha futura",IF(OR(D225&lt;0,D225&lt;&gt;INT(D225)),"Usuarios no válidos",IF(AND(E225&lt;&gt;"",OR(E225&lt;0,E225&gt;1)),"Utilización fuera de 0-100%",IF(COUNTIFS($A$5:$A$604,A225,$B$5:$B$604,B225,$C$5:$C$604,C225)&gt;1,"Fila duplicada","OK")))))))</f>
        <v/>
      </c>
      <c r="K225" s="9"/>
    </row>
    <row r="226" customFormat="false" ht="15" hidden="false" customHeight="false" outlineLevel="0" collapsed="false">
      <c r="A226" s="7"/>
      <c r="B226" s="8"/>
      <c r="C226" s="9"/>
      <c r="D226" s="20"/>
      <c r="E226" s="10"/>
      <c r="F226" s="9"/>
      <c r="G226" s="11" t="str">
        <f aca="false">IF(C226="","",IFERROR(INDEX(Catálogo!$B$5:$B$2000,MATCH(C226,Catálogo!$A$5:$A$2000,0)),""))</f>
        <v/>
      </c>
      <c r="H226" s="11" t="str">
        <f aca="false">IF(C226="","",IFERROR(INDEX(Catálogo!$C$5:$C$2000,MATCH(C226,Catálogo!$A$5:$A$2000,0)),""))</f>
        <v/>
      </c>
      <c r="I226" s="11" t="str">
        <f aca="false">IF(D226="","",IF(D226&gt;UmbralAlarma,"Alarmante",IF(D226&gt;=UmbralRegular,"Regular","Bueno")))</f>
        <v/>
      </c>
      <c r="J226" s="11" t="str">
        <f aca="true">IF(COUNTA(A226:F226)=0,"",IF(OR(A226="",B226="",C226="",D226=""),"Faltan datos",IF(G226="","AP no está en el catálogo",IF(A226&gt;TODAY()+1,"Fecha futura",IF(OR(D226&lt;0,D226&lt;&gt;INT(D226)),"Usuarios no válidos",IF(AND(E226&lt;&gt;"",OR(E226&lt;0,E226&gt;1)),"Utilización fuera de 0-100%",IF(COUNTIFS($A$5:$A$604,A226,$B$5:$B$604,B226,$C$5:$C$604,C226)&gt;1,"Fila duplicada","OK")))))))</f>
        <v/>
      </c>
      <c r="K226" s="9"/>
    </row>
    <row r="227" customFormat="false" ht="15" hidden="false" customHeight="false" outlineLevel="0" collapsed="false">
      <c r="A227" s="7"/>
      <c r="B227" s="8"/>
      <c r="C227" s="9"/>
      <c r="D227" s="20"/>
      <c r="E227" s="10"/>
      <c r="F227" s="9"/>
      <c r="G227" s="11" t="str">
        <f aca="false">IF(C227="","",IFERROR(INDEX(Catálogo!$B$5:$B$2000,MATCH(C227,Catálogo!$A$5:$A$2000,0)),""))</f>
        <v/>
      </c>
      <c r="H227" s="11" t="str">
        <f aca="false">IF(C227="","",IFERROR(INDEX(Catálogo!$C$5:$C$2000,MATCH(C227,Catálogo!$A$5:$A$2000,0)),""))</f>
        <v/>
      </c>
      <c r="I227" s="11" t="str">
        <f aca="false">IF(D227="","",IF(D227&gt;UmbralAlarma,"Alarmante",IF(D227&gt;=UmbralRegular,"Regular","Bueno")))</f>
        <v/>
      </c>
      <c r="J227" s="11" t="str">
        <f aca="true">IF(COUNTA(A227:F227)=0,"",IF(OR(A227="",B227="",C227="",D227=""),"Faltan datos",IF(G227="","AP no está en el catálogo",IF(A227&gt;TODAY()+1,"Fecha futura",IF(OR(D227&lt;0,D227&lt;&gt;INT(D227)),"Usuarios no válidos",IF(AND(E227&lt;&gt;"",OR(E227&lt;0,E227&gt;1)),"Utilización fuera de 0-100%",IF(COUNTIFS($A$5:$A$604,A227,$B$5:$B$604,B227,$C$5:$C$604,C227)&gt;1,"Fila duplicada","OK")))))))</f>
        <v/>
      </c>
      <c r="K227" s="9"/>
    </row>
    <row r="228" customFormat="false" ht="15" hidden="false" customHeight="false" outlineLevel="0" collapsed="false">
      <c r="A228" s="7"/>
      <c r="B228" s="8"/>
      <c r="C228" s="9"/>
      <c r="D228" s="20"/>
      <c r="E228" s="10"/>
      <c r="F228" s="9"/>
      <c r="G228" s="11" t="str">
        <f aca="false">IF(C228="","",IFERROR(INDEX(Catálogo!$B$5:$B$2000,MATCH(C228,Catálogo!$A$5:$A$2000,0)),""))</f>
        <v/>
      </c>
      <c r="H228" s="11" t="str">
        <f aca="false">IF(C228="","",IFERROR(INDEX(Catálogo!$C$5:$C$2000,MATCH(C228,Catálogo!$A$5:$A$2000,0)),""))</f>
        <v/>
      </c>
      <c r="I228" s="11" t="str">
        <f aca="false">IF(D228="","",IF(D228&gt;UmbralAlarma,"Alarmante",IF(D228&gt;=UmbralRegular,"Regular","Bueno")))</f>
        <v/>
      </c>
      <c r="J228" s="11" t="str">
        <f aca="true">IF(COUNTA(A228:F228)=0,"",IF(OR(A228="",B228="",C228="",D228=""),"Faltan datos",IF(G228="","AP no está en el catálogo",IF(A228&gt;TODAY()+1,"Fecha futura",IF(OR(D228&lt;0,D228&lt;&gt;INT(D228)),"Usuarios no válidos",IF(AND(E228&lt;&gt;"",OR(E228&lt;0,E228&gt;1)),"Utilización fuera de 0-100%",IF(COUNTIFS($A$5:$A$604,A228,$B$5:$B$604,B228,$C$5:$C$604,C228)&gt;1,"Fila duplicada","OK")))))))</f>
        <v/>
      </c>
      <c r="K228" s="9"/>
    </row>
    <row r="229" customFormat="false" ht="15" hidden="false" customHeight="false" outlineLevel="0" collapsed="false">
      <c r="A229" s="7"/>
      <c r="B229" s="8"/>
      <c r="C229" s="9"/>
      <c r="D229" s="20"/>
      <c r="E229" s="10"/>
      <c r="F229" s="9"/>
      <c r="G229" s="11" t="str">
        <f aca="false">IF(C229="","",IFERROR(INDEX(Catálogo!$B$5:$B$2000,MATCH(C229,Catálogo!$A$5:$A$2000,0)),""))</f>
        <v/>
      </c>
      <c r="H229" s="11" t="str">
        <f aca="false">IF(C229="","",IFERROR(INDEX(Catálogo!$C$5:$C$2000,MATCH(C229,Catálogo!$A$5:$A$2000,0)),""))</f>
        <v/>
      </c>
      <c r="I229" s="11" t="str">
        <f aca="false">IF(D229="","",IF(D229&gt;UmbralAlarma,"Alarmante",IF(D229&gt;=UmbralRegular,"Regular","Bueno")))</f>
        <v/>
      </c>
      <c r="J229" s="11" t="str">
        <f aca="true">IF(COUNTA(A229:F229)=0,"",IF(OR(A229="",B229="",C229="",D229=""),"Faltan datos",IF(G229="","AP no está en el catálogo",IF(A229&gt;TODAY()+1,"Fecha futura",IF(OR(D229&lt;0,D229&lt;&gt;INT(D229)),"Usuarios no válidos",IF(AND(E229&lt;&gt;"",OR(E229&lt;0,E229&gt;1)),"Utilización fuera de 0-100%",IF(COUNTIFS($A$5:$A$604,A229,$B$5:$B$604,B229,$C$5:$C$604,C229)&gt;1,"Fila duplicada","OK")))))))</f>
        <v/>
      </c>
      <c r="K229" s="9"/>
    </row>
    <row r="230" customFormat="false" ht="15" hidden="false" customHeight="false" outlineLevel="0" collapsed="false">
      <c r="A230" s="7"/>
      <c r="B230" s="8"/>
      <c r="C230" s="9"/>
      <c r="D230" s="20"/>
      <c r="E230" s="10"/>
      <c r="F230" s="9"/>
      <c r="G230" s="11" t="str">
        <f aca="false">IF(C230="","",IFERROR(INDEX(Catálogo!$B$5:$B$2000,MATCH(C230,Catálogo!$A$5:$A$2000,0)),""))</f>
        <v/>
      </c>
      <c r="H230" s="11" t="str">
        <f aca="false">IF(C230="","",IFERROR(INDEX(Catálogo!$C$5:$C$2000,MATCH(C230,Catálogo!$A$5:$A$2000,0)),""))</f>
        <v/>
      </c>
      <c r="I230" s="11" t="str">
        <f aca="false">IF(D230="","",IF(D230&gt;UmbralAlarma,"Alarmante",IF(D230&gt;=UmbralRegular,"Regular","Bueno")))</f>
        <v/>
      </c>
      <c r="J230" s="11" t="str">
        <f aca="true">IF(COUNTA(A230:F230)=0,"",IF(OR(A230="",B230="",C230="",D230=""),"Faltan datos",IF(G230="","AP no está en el catálogo",IF(A230&gt;TODAY()+1,"Fecha futura",IF(OR(D230&lt;0,D230&lt;&gt;INT(D230)),"Usuarios no válidos",IF(AND(E230&lt;&gt;"",OR(E230&lt;0,E230&gt;1)),"Utilización fuera de 0-100%",IF(COUNTIFS($A$5:$A$604,A230,$B$5:$B$604,B230,$C$5:$C$604,C230)&gt;1,"Fila duplicada","OK")))))))</f>
        <v/>
      </c>
      <c r="K230" s="9"/>
    </row>
    <row r="231" customFormat="false" ht="15" hidden="false" customHeight="false" outlineLevel="0" collapsed="false">
      <c r="A231" s="7"/>
      <c r="B231" s="8"/>
      <c r="C231" s="9"/>
      <c r="D231" s="20"/>
      <c r="E231" s="10"/>
      <c r="F231" s="9"/>
      <c r="G231" s="11" t="str">
        <f aca="false">IF(C231="","",IFERROR(INDEX(Catálogo!$B$5:$B$2000,MATCH(C231,Catálogo!$A$5:$A$2000,0)),""))</f>
        <v/>
      </c>
      <c r="H231" s="11" t="str">
        <f aca="false">IF(C231="","",IFERROR(INDEX(Catálogo!$C$5:$C$2000,MATCH(C231,Catálogo!$A$5:$A$2000,0)),""))</f>
        <v/>
      </c>
      <c r="I231" s="11" t="str">
        <f aca="false">IF(D231="","",IF(D231&gt;UmbralAlarma,"Alarmante",IF(D231&gt;=UmbralRegular,"Regular","Bueno")))</f>
        <v/>
      </c>
      <c r="J231" s="11" t="str">
        <f aca="true">IF(COUNTA(A231:F231)=0,"",IF(OR(A231="",B231="",C231="",D231=""),"Faltan datos",IF(G231="","AP no está en el catálogo",IF(A231&gt;TODAY()+1,"Fecha futura",IF(OR(D231&lt;0,D231&lt;&gt;INT(D231)),"Usuarios no válidos",IF(AND(E231&lt;&gt;"",OR(E231&lt;0,E231&gt;1)),"Utilización fuera de 0-100%",IF(COUNTIFS($A$5:$A$604,A231,$B$5:$B$604,B231,$C$5:$C$604,C231)&gt;1,"Fila duplicada","OK")))))))</f>
        <v/>
      </c>
      <c r="K231" s="9"/>
    </row>
    <row r="232" customFormat="false" ht="15" hidden="false" customHeight="false" outlineLevel="0" collapsed="false">
      <c r="A232" s="7"/>
      <c r="B232" s="8"/>
      <c r="C232" s="9"/>
      <c r="D232" s="20"/>
      <c r="E232" s="10"/>
      <c r="F232" s="9"/>
      <c r="G232" s="11" t="str">
        <f aca="false">IF(C232="","",IFERROR(INDEX(Catálogo!$B$5:$B$2000,MATCH(C232,Catálogo!$A$5:$A$2000,0)),""))</f>
        <v/>
      </c>
      <c r="H232" s="11" t="str">
        <f aca="false">IF(C232="","",IFERROR(INDEX(Catálogo!$C$5:$C$2000,MATCH(C232,Catálogo!$A$5:$A$2000,0)),""))</f>
        <v/>
      </c>
      <c r="I232" s="11" t="str">
        <f aca="false">IF(D232="","",IF(D232&gt;UmbralAlarma,"Alarmante",IF(D232&gt;=UmbralRegular,"Regular","Bueno")))</f>
        <v/>
      </c>
      <c r="J232" s="11" t="str">
        <f aca="true">IF(COUNTA(A232:F232)=0,"",IF(OR(A232="",B232="",C232="",D232=""),"Faltan datos",IF(G232="","AP no está en el catálogo",IF(A232&gt;TODAY()+1,"Fecha futura",IF(OR(D232&lt;0,D232&lt;&gt;INT(D232)),"Usuarios no válidos",IF(AND(E232&lt;&gt;"",OR(E232&lt;0,E232&gt;1)),"Utilización fuera de 0-100%",IF(COUNTIFS($A$5:$A$604,A232,$B$5:$B$604,B232,$C$5:$C$604,C232)&gt;1,"Fila duplicada","OK")))))))</f>
        <v/>
      </c>
      <c r="K232" s="9"/>
    </row>
    <row r="233" customFormat="false" ht="15" hidden="false" customHeight="false" outlineLevel="0" collapsed="false">
      <c r="A233" s="7"/>
      <c r="B233" s="8"/>
      <c r="C233" s="9"/>
      <c r="D233" s="20"/>
      <c r="E233" s="10"/>
      <c r="F233" s="9"/>
      <c r="G233" s="11" t="str">
        <f aca="false">IF(C233="","",IFERROR(INDEX(Catálogo!$B$5:$B$2000,MATCH(C233,Catálogo!$A$5:$A$2000,0)),""))</f>
        <v/>
      </c>
      <c r="H233" s="11" t="str">
        <f aca="false">IF(C233="","",IFERROR(INDEX(Catálogo!$C$5:$C$2000,MATCH(C233,Catálogo!$A$5:$A$2000,0)),""))</f>
        <v/>
      </c>
      <c r="I233" s="11" t="str">
        <f aca="false">IF(D233="","",IF(D233&gt;UmbralAlarma,"Alarmante",IF(D233&gt;=UmbralRegular,"Regular","Bueno")))</f>
        <v/>
      </c>
      <c r="J233" s="11" t="str">
        <f aca="true">IF(COUNTA(A233:F233)=0,"",IF(OR(A233="",B233="",C233="",D233=""),"Faltan datos",IF(G233="","AP no está en el catálogo",IF(A233&gt;TODAY()+1,"Fecha futura",IF(OR(D233&lt;0,D233&lt;&gt;INT(D233)),"Usuarios no válidos",IF(AND(E233&lt;&gt;"",OR(E233&lt;0,E233&gt;1)),"Utilización fuera de 0-100%",IF(COUNTIFS($A$5:$A$604,A233,$B$5:$B$604,B233,$C$5:$C$604,C233)&gt;1,"Fila duplicada","OK")))))))</f>
        <v/>
      </c>
      <c r="K233" s="9"/>
    </row>
    <row r="234" customFormat="false" ht="15" hidden="false" customHeight="false" outlineLevel="0" collapsed="false">
      <c r="A234" s="7"/>
      <c r="B234" s="8"/>
      <c r="C234" s="9"/>
      <c r="D234" s="20"/>
      <c r="E234" s="10"/>
      <c r="F234" s="9"/>
      <c r="G234" s="11" t="str">
        <f aca="false">IF(C234="","",IFERROR(INDEX(Catálogo!$B$5:$B$2000,MATCH(C234,Catálogo!$A$5:$A$2000,0)),""))</f>
        <v/>
      </c>
      <c r="H234" s="11" t="str">
        <f aca="false">IF(C234="","",IFERROR(INDEX(Catálogo!$C$5:$C$2000,MATCH(C234,Catálogo!$A$5:$A$2000,0)),""))</f>
        <v/>
      </c>
      <c r="I234" s="11" t="str">
        <f aca="false">IF(D234="","",IF(D234&gt;UmbralAlarma,"Alarmante",IF(D234&gt;=UmbralRegular,"Regular","Bueno")))</f>
        <v/>
      </c>
      <c r="J234" s="11" t="str">
        <f aca="true">IF(COUNTA(A234:F234)=0,"",IF(OR(A234="",B234="",C234="",D234=""),"Faltan datos",IF(G234="","AP no está en el catálogo",IF(A234&gt;TODAY()+1,"Fecha futura",IF(OR(D234&lt;0,D234&lt;&gt;INT(D234)),"Usuarios no válidos",IF(AND(E234&lt;&gt;"",OR(E234&lt;0,E234&gt;1)),"Utilización fuera de 0-100%",IF(COUNTIFS($A$5:$A$604,A234,$B$5:$B$604,B234,$C$5:$C$604,C234)&gt;1,"Fila duplicada","OK")))))))</f>
        <v/>
      </c>
      <c r="K234" s="9"/>
    </row>
    <row r="235" customFormat="false" ht="15" hidden="false" customHeight="false" outlineLevel="0" collapsed="false">
      <c r="A235" s="7"/>
      <c r="B235" s="8"/>
      <c r="C235" s="9"/>
      <c r="D235" s="20"/>
      <c r="E235" s="10"/>
      <c r="F235" s="9"/>
      <c r="G235" s="11" t="str">
        <f aca="false">IF(C235="","",IFERROR(INDEX(Catálogo!$B$5:$B$2000,MATCH(C235,Catálogo!$A$5:$A$2000,0)),""))</f>
        <v/>
      </c>
      <c r="H235" s="11" t="str">
        <f aca="false">IF(C235="","",IFERROR(INDEX(Catálogo!$C$5:$C$2000,MATCH(C235,Catálogo!$A$5:$A$2000,0)),""))</f>
        <v/>
      </c>
      <c r="I235" s="11" t="str">
        <f aca="false">IF(D235="","",IF(D235&gt;UmbralAlarma,"Alarmante",IF(D235&gt;=UmbralRegular,"Regular","Bueno")))</f>
        <v/>
      </c>
      <c r="J235" s="11" t="str">
        <f aca="true">IF(COUNTA(A235:F235)=0,"",IF(OR(A235="",B235="",C235="",D235=""),"Faltan datos",IF(G235="","AP no está en el catálogo",IF(A235&gt;TODAY()+1,"Fecha futura",IF(OR(D235&lt;0,D235&lt;&gt;INT(D235)),"Usuarios no válidos",IF(AND(E235&lt;&gt;"",OR(E235&lt;0,E235&gt;1)),"Utilización fuera de 0-100%",IF(COUNTIFS($A$5:$A$604,A235,$B$5:$B$604,B235,$C$5:$C$604,C235)&gt;1,"Fila duplicada","OK")))))))</f>
        <v/>
      </c>
      <c r="K235" s="9"/>
    </row>
    <row r="236" customFormat="false" ht="15" hidden="false" customHeight="false" outlineLevel="0" collapsed="false">
      <c r="A236" s="7"/>
      <c r="B236" s="8"/>
      <c r="C236" s="9"/>
      <c r="D236" s="20"/>
      <c r="E236" s="10"/>
      <c r="F236" s="9"/>
      <c r="G236" s="11" t="str">
        <f aca="false">IF(C236="","",IFERROR(INDEX(Catálogo!$B$5:$B$2000,MATCH(C236,Catálogo!$A$5:$A$2000,0)),""))</f>
        <v/>
      </c>
      <c r="H236" s="11" t="str">
        <f aca="false">IF(C236="","",IFERROR(INDEX(Catálogo!$C$5:$C$2000,MATCH(C236,Catálogo!$A$5:$A$2000,0)),""))</f>
        <v/>
      </c>
      <c r="I236" s="11" t="str">
        <f aca="false">IF(D236="","",IF(D236&gt;UmbralAlarma,"Alarmante",IF(D236&gt;=UmbralRegular,"Regular","Bueno")))</f>
        <v/>
      </c>
      <c r="J236" s="11" t="str">
        <f aca="true">IF(COUNTA(A236:F236)=0,"",IF(OR(A236="",B236="",C236="",D236=""),"Faltan datos",IF(G236="","AP no está en el catálogo",IF(A236&gt;TODAY()+1,"Fecha futura",IF(OR(D236&lt;0,D236&lt;&gt;INT(D236)),"Usuarios no válidos",IF(AND(E236&lt;&gt;"",OR(E236&lt;0,E236&gt;1)),"Utilización fuera de 0-100%",IF(COUNTIFS($A$5:$A$604,A236,$B$5:$B$604,B236,$C$5:$C$604,C236)&gt;1,"Fila duplicada","OK")))))))</f>
        <v/>
      </c>
      <c r="K236" s="9"/>
    </row>
    <row r="237" customFormat="false" ht="15" hidden="false" customHeight="false" outlineLevel="0" collapsed="false">
      <c r="A237" s="7"/>
      <c r="B237" s="8"/>
      <c r="C237" s="9"/>
      <c r="D237" s="20"/>
      <c r="E237" s="10"/>
      <c r="F237" s="9"/>
      <c r="G237" s="11" t="str">
        <f aca="false">IF(C237="","",IFERROR(INDEX(Catálogo!$B$5:$B$2000,MATCH(C237,Catálogo!$A$5:$A$2000,0)),""))</f>
        <v/>
      </c>
      <c r="H237" s="11" t="str">
        <f aca="false">IF(C237="","",IFERROR(INDEX(Catálogo!$C$5:$C$2000,MATCH(C237,Catálogo!$A$5:$A$2000,0)),""))</f>
        <v/>
      </c>
      <c r="I237" s="11" t="str">
        <f aca="false">IF(D237="","",IF(D237&gt;UmbralAlarma,"Alarmante",IF(D237&gt;=UmbralRegular,"Regular","Bueno")))</f>
        <v/>
      </c>
      <c r="J237" s="11" t="str">
        <f aca="true">IF(COUNTA(A237:F237)=0,"",IF(OR(A237="",B237="",C237="",D237=""),"Faltan datos",IF(G237="","AP no está en el catálogo",IF(A237&gt;TODAY()+1,"Fecha futura",IF(OR(D237&lt;0,D237&lt;&gt;INT(D237)),"Usuarios no válidos",IF(AND(E237&lt;&gt;"",OR(E237&lt;0,E237&gt;1)),"Utilización fuera de 0-100%",IF(COUNTIFS($A$5:$A$604,A237,$B$5:$B$604,B237,$C$5:$C$604,C237)&gt;1,"Fila duplicada","OK")))))))</f>
        <v/>
      </c>
      <c r="K237" s="9"/>
    </row>
    <row r="238" customFormat="false" ht="15" hidden="false" customHeight="false" outlineLevel="0" collapsed="false">
      <c r="A238" s="7"/>
      <c r="B238" s="8"/>
      <c r="C238" s="9"/>
      <c r="D238" s="20"/>
      <c r="E238" s="10"/>
      <c r="F238" s="9"/>
      <c r="G238" s="11" t="str">
        <f aca="false">IF(C238="","",IFERROR(INDEX(Catálogo!$B$5:$B$2000,MATCH(C238,Catálogo!$A$5:$A$2000,0)),""))</f>
        <v/>
      </c>
      <c r="H238" s="11" t="str">
        <f aca="false">IF(C238="","",IFERROR(INDEX(Catálogo!$C$5:$C$2000,MATCH(C238,Catálogo!$A$5:$A$2000,0)),""))</f>
        <v/>
      </c>
      <c r="I238" s="11" t="str">
        <f aca="false">IF(D238="","",IF(D238&gt;UmbralAlarma,"Alarmante",IF(D238&gt;=UmbralRegular,"Regular","Bueno")))</f>
        <v/>
      </c>
      <c r="J238" s="11" t="str">
        <f aca="true">IF(COUNTA(A238:F238)=0,"",IF(OR(A238="",B238="",C238="",D238=""),"Faltan datos",IF(G238="","AP no está en el catálogo",IF(A238&gt;TODAY()+1,"Fecha futura",IF(OR(D238&lt;0,D238&lt;&gt;INT(D238)),"Usuarios no válidos",IF(AND(E238&lt;&gt;"",OR(E238&lt;0,E238&gt;1)),"Utilización fuera de 0-100%",IF(COUNTIFS($A$5:$A$604,A238,$B$5:$B$604,B238,$C$5:$C$604,C238)&gt;1,"Fila duplicada","OK")))))))</f>
        <v/>
      </c>
      <c r="K238" s="9"/>
    </row>
    <row r="239" customFormat="false" ht="15" hidden="false" customHeight="false" outlineLevel="0" collapsed="false">
      <c r="A239" s="7"/>
      <c r="B239" s="8"/>
      <c r="C239" s="9"/>
      <c r="D239" s="20"/>
      <c r="E239" s="10"/>
      <c r="F239" s="9"/>
      <c r="G239" s="11" t="str">
        <f aca="false">IF(C239="","",IFERROR(INDEX(Catálogo!$B$5:$B$2000,MATCH(C239,Catálogo!$A$5:$A$2000,0)),""))</f>
        <v/>
      </c>
      <c r="H239" s="11" t="str">
        <f aca="false">IF(C239="","",IFERROR(INDEX(Catálogo!$C$5:$C$2000,MATCH(C239,Catálogo!$A$5:$A$2000,0)),""))</f>
        <v/>
      </c>
      <c r="I239" s="11" t="str">
        <f aca="false">IF(D239="","",IF(D239&gt;UmbralAlarma,"Alarmante",IF(D239&gt;=UmbralRegular,"Regular","Bueno")))</f>
        <v/>
      </c>
      <c r="J239" s="11" t="str">
        <f aca="true">IF(COUNTA(A239:F239)=0,"",IF(OR(A239="",B239="",C239="",D239=""),"Faltan datos",IF(G239="","AP no está en el catálogo",IF(A239&gt;TODAY()+1,"Fecha futura",IF(OR(D239&lt;0,D239&lt;&gt;INT(D239)),"Usuarios no válidos",IF(AND(E239&lt;&gt;"",OR(E239&lt;0,E239&gt;1)),"Utilización fuera de 0-100%",IF(COUNTIFS($A$5:$A$604,A239,$B$5:$B$604,B239,$C$5:$C$604,C239)&gt;1,"Fila duplicada","OK")))))))</f>
        <v/>
      </c>
      <c r="K239" s="9"/>
    </row>
    <row r="240" customFormat="false" ht="15" hidden="false" customHeight="false" outlineLevel="0" collapsed="false">
      <c r="A240" s="7"/>
      <c r="B240" s="8"/>
      <c r="C240" s="9"/>
      <c r="D240" s="20"/>
      <c r="E240" s="10"/>
      <c r="F240" s="9"/>
      <c r="G240" s="11" t="str">
        <f aca="false">IF(C240="","",IFERROR(INDEX(Catálogo!$B$5:$B$2000,MATCH(C240,Catálogo!$A$5:$A$2000,0)),""))</f>
        <v/>
      </c>
      <c r="H240" s="11" t="str">
        <f aca="false">IF(C240="","",IFERROR(INDEX(Catálogo!$C$5:$C$2000,MATCH(C240,Catálogo!$A$5:$A$2000,0)),""))</f>
        <v/>
      </c>
      <c r="I240" s="11" t="str">
        <f aca="false">IF(D240="","",IF(D240&gt;UmbralAlarma,"Alarmante",IF(D240&gt;=UmbralRegular,"Regular","Bueno")))</f>
        <v/>
      </c>
      <c r="J240" s="11" t="str">
        <f aca="true">IF(COUNTA(A240:F240)=0,"",IF(OR(A240="",B240="",C240="",D240=""),"Faltan datos",IF(G240="","AP no está en el catálogo",IF(A240&gt;TODAY()+1,"Fecha futura",IF(OR(D240&lt;0,D240&lt;&gt;INT(D240)),"Usuarios no válidos",IF(AND(E240&lt;&gt;"",OR(E240&lt;0,E240&gt;1)),"Utilización fuera de 0-100%",IF(COUNTIFS($A$5:$A$604,A240,$B$5:$B$604,B240,$C$5:$C$604,C240)&gt;1,"Fila duplicada","OK")))))))</f>
        <v/>
      </c>
      <c r="K240" s="9"/>
    </row>
    <row r="241" customFormat="false" ht="15" hidden="false" customHeight="false" outlineLevel="0" collapsed="false">
      <c r="A241" s="7"/>
      <c r="B241" s="8"/>
      <c r="C241" s="9"/>
      <c r="D241" s="20"/>
      <c r="E241" s="10"/>
      <c r="F241" s="9"/>
      <c r="G241" s="11" t="str">
        <f aca="false">IF(C241="","",IFERROR(INDEX(Catálogo!$B$5:$B$2000,MATCH(C241,Catálogo!$A$5:$A$2000,0)),""))</f>
        <v/>
      </c>
      <c r="H241" s="11" t="str">
        <f aca="false">IF(C241="","",IFERROR(INDEX(Catálogo!$C$5:$C$2000,MATCH(C241,Catálogo!$A$5:$A$2000,0)),""))</f>
        <v/>
      </c>
      <c r="I241" s="11" t="str">
        <f aca="false">IF(D241="","",IF(D241&gt;UmbralAlarma,"Alarmante",IF(D241&gt;=UmbralRegular,"Regular","Bueno")))</f>
        <v/>
      </c>
      <c r="J241" s="11" t="str">
        <f aca="true">IF(COUNTA(A241:F241)=0,"",IF(OR(A241="",B241="",C241="",D241=""),"Faltan datos",IF(G241="","AP no está en el catálogo",IF(A241&gt;TODAY()+1,"Fecha futura",IF(OR(D241&lt;0,D241&lt;&gt;INT(D241)),"Usuarios no válidos",IF(AND(E241&lt;&gt;"",OR(E241&lt;0,E241&gt;1)),"Utilización fuera de 0-100%",IF(COUNTIFS($A$5:$A$604,A241,$B$5:$B$604,B241,$C$5:$C$604,C241)&gt;1,"Fila duplicada","OK")))))))</f>
        <v/>
      </c>
      <c r="K241" s="9"/>
    </row>
    <row r="242" customFormat="false" ht="15" hidden="false" customHeight="false" outlineLevel="0" collapsed="false">
      <c r="A242" s="7"/>
      <c r="B242" s="8"/>
      <c r="C242" s="9"/>
      <c r="D242" s="20"/>
      <c r="E242" s="10"/>
      <c r="F242" s="9"/>
      <c r="G242" s="11" t="str">
        <f aca="false">IF(C242="","",IFERROR(INDEX(Catálogo!$B$5:$B$2000,MATCH(C242,Catálogo!$A$5:$A$2000,0)),""))</f>
        <v/>
      </c>
      <c r="H242" s="11" t="str">
        <f aca="false">IF(C242="","",IFERROR(INDEX(Catálogo!$C$5:$C$2000,MATCH(C242,Catálogo!$A$5:$A$2000,0)),""))</f>
        <v/>
      </c>
      <c r="I242" s="11" t="str">
        <f aca="false">IF(D242="","",IF(D242&gt;UmbralAlarma,"Alarmante",IF(D242&gt;=UmbralRegular,"Regular","Bueno")))</f>
        <v/>
      </c>
      <c r="J242" s="11" t="str">
        <f aca="true">IF(COUNTA(A242:F242)=0,"",IF(OR(A242="",B242="",C242="",D242=""),"Faltan datos",IF(G242="","AP no está en el catálogo",IF(A242&gt;TODAY()+1,"Fecha futura",IF(OR(D242&lt;0,D242&lt;&gt;INT(D242)),"Usuarios no válidos",IF(AND(E242&lt;&gt;"",OR(E242&lt;0,E242&gt;1)),"Utilización fuera de 0-100%",IF(COUNTIFS($A$5:$A$604,A242,$B$5:$B$604,B242,$C$5:$C$604,C242)&gt;1,"Fila duplicada","OK")))))))</f>
        <v/>
      </c>
      <c r="K242" s="9"/>
    </row>
    <row r="243" customFormat="false" ht="15" hidden="false" customHeight="false" outlineLevel="0" collapsed="false">
      <c r="A243" s="7"/>
      <c r="B243" s="8"/>
      <c r="C243" s="9"/>
      <c r="D243" s="20"/>
      <c r="E243" s="10"/>
      <c r="F243" s="9"/>
      <c r="G243" s="11" t="str">
        <f aca="false">IF(C243="","",IFERROR(INDEX(Catálogo!$B$5:$B$2000,MATCH(C243,Catálogo!$A$5:$A$2000,0)),""))</f>
        <v/>
      </c>
      <c r="H243" s="11" t="str">
        <f aca="false">IF(C243="","",IFERROR(INDEX(Catálogo!$C$5:$C$2000,MATCH(C243,Catálogo!$A$5:$A$2000,0)),""))</f>
        <v/>
      </c>
      <c r="I243" s="11" t="str">
        <f aca="false">IF(D243="","",IF(D243&gt;UmbralAlarma,"Alarmante",IF(D243&gt;=UmbralRegular,"Regular","Bueno")))</f>
        <v/>
      </c>
      <c r="J243" s="11" t="str">
        <f aca="true">IF(COUNTA(A243:F243)=0,"",IF(OR(A243="",B243="",C243="",D243=""),"Faltan datos",IF(G243="","AP no está en el catálogo",IF(A243&gt;TODAY()+1,"Fecha futura",IF(OR(D243&lt;0,D243&lt;&gt;INT(D243)),"Usuarios no válidos",IF(AND(E243&lt;&gt;"",OR(E243&lt;0,E243&gt;1)),"Utilización fuera de 0-100%",IF(COUNTIFS($A$5:$A$604,A243,$B$5:$B$604,B243,$C$5:$C$604,C243)&gt;1,"Fila duplicada","OK")))))))</f>
        <v/>
      </c>
      <c r="K243" s="9"/>
    </row>
    <row r="244" customFormat="false" ht="15" hidden="false" customHeight="false" outlineLevel="0" collapsed="false">
      <c r="A244" s="7"/>
      <c r="B244" s="8"/>
      <c r="C244" s="9"/>
      <c r="D244" s="20"/>
      <c r="E244" s="10"/>
      <c r="F244" s="9"/>
      <c r="G244" s="11" t="str">
        <f aca="false">IF(C244="","",IFERROR(INDEX(Catálogo!$B$5:$B$2000,MATCH(C244,Catálogo!$A$5:$A$2000,0)),""))</f>
        <v/>
      </c>
      <c r="H244" s="11" t="str">
        <f aca="false">IF(C244="","",IFERROR(INDEX(Catálogo!$C$5:$C$2000,MATCH(C244,Catálogo!$A$5:$A$2000,0)),""))</f>
        <v/>
      </c>
      <c r="I244" s="11" t="str">
        <f aca="false">IF(D244="","",IF(D244&gt;UmbralAlarma,"Alarmante",IF(D244&gt;=UmbralRegular,"Regular","Bueno")))</f>
        <v/>
      </c>
      <c r="J244" s="11" t="str">
        <f aca="true">IF(COUNTA(A244:F244)=0,"",IF(OR(A244="",B244="",C244="",D244=""),"Faltan datos",IF(G244="","AP no está en el catálogo",IF(A244&gt;TODAY()+1,"Fecha futura",IF(OR(D244&lt;0,D244&lt;&gt;INT(D244)),"Usuarios no válidos",IF(AND(E244&lt;&gt;"",OR(E244&lt;0,E244&gt;1)),"Utilización fuera de 0-100%",IF(COUNTIFS($A$5:$A$604,A244,$B$5:$B$604,B244,$C$5:$C$604,C244)&gt;1,"Fila duplicada","OK")))))))</f>
        <v/>
      </c>
      <c r="K244" s="9"/>
    </row>
    <row r="245" customFormat="false" ht="15" hidden="false" customHeight="false" outlineLevel="0" collapsed="false">
      <c r="A245" s="7"/>
      <c r="B245" s="8"/>
      <c r="C245" s="9"/>
      <c r="D245" s="20"/>
      <c r="E245" s="10"/>
      <c r="F245" s="9"/>
      <c r="G245" s="11" t="str">
        <f aca="false">IF(C245="","",IFERROR(INDEX(Catálogo!$B$5:$B$2000,MATCH(C245,Catálogo!$A$5:$A$2000,0)),""))</f>
        <v/>
      </c>
      <c r="H245" s="11" t="str">
        <f aca="false">IF(C245="","",IFERROR(INDEX(Catálogo!$C$5:$C$2000,MATCH(C245,Catálogo!$A$5:$A$2000,0)),""))</f>
        <v/>
      </c>
      <c r="I245" s="11" t="str">
        <f aca="false">IF(D245="","",IF(D245&gt;UmbralAlarma,"Alarmante",IF(D245&gt;=UmbralRegular,"Regular","Bueno")))</f>
        <v/>
      </c>
      <c r="J245" s="11" t="str">
        <f aca="true">IF(COUNTA(A245:F245)=0,"",IF(OR(A245="",B245="",C245="",D245=""),"Faltan datos",IF(G245="","AP no está en el catálogo",IF(A245&gt;TODAY()+1,"Fecha futura",IF(OR(D245&lt;0,D245&lt;&gt;INT(D245)),"Usuarios no válidos",IF(AND(E245&lt;&gt;"",OR(E245&lt;0,E245&gt;1)),"Utilización fuera de 0-100%",IF(COUNTIFS($A$5:$A$604,A245,$B$5:$B$604,B245,$C$5:$C$604,C245)&gt;1,"Fila duplicada","OK")))))))</f>
        <v/>
      </c>
      <c r="K245" s="9"/>
    </row>
    <row r="246" customFormat="false" ht="15" hidden="false" customHeight="false" outlineLevel="0" collapsed="false">
      <c r="A246" s="7"/>
      <c r="B246" s="8"/>
      <c r="C246" s="9"/>
      <c r="D246" s="20"/>
      <c r="E246" s="10"/>
      <c r="F246" s="9"/>
      <c r="G246" s="11" t="str">
        <f aca="false">IF(C246="","",IFERROR(INDEX(Catálogo!$B$5:$B$2000,MATCH(C246,Catálogo!$A$5:$A$2000,0)),""))</f>
        <v/>
      </c>
      <c r="H246" s="11" t="str">
        <f aca="false">IF(C246="","",IFERROR(INDEX(Catálogo!$C$5:$C$2000,MATCH(C246,Catálogo!$A$5:$A$2000,0)),""))</f>
        <v/>
      </c>
      <c r="I246" s="11" t="str">
        <f aca="false">IF(D246="","",IF(D246&gt;UmbralAlarma,"Alarmante",IF(D246&gt;=UmbralRegular,"Regular","Bueno")))</f>
        <v/>
      </c>
      <c r="J246" s="11" t="str">
        <f aca="true">IF(COUNTA(A246:F246)=0,"",IF(OR(A246="",B246="",C246="",D246=""),"Faltan datos",IF(G246="","AP no está en el catálogo",IF(A246&gt;TODAY()+1,"Fecha futura",IF(OR(D246&lt;0,D246&lt;&gt;INT(D246)),"Usuarios no válidos",IF(AND(E246&lt;&gt;"",OR(E246&lt;0,E246&gt;1)),"Utilización fuera de 0-100%",IF(COUNTIFS($A$5:$A$604,A246,$B$5:$B$604,B246,$C$5:$C$604,C246)&gt;1,"Fila duplicada","OK")))))))</f>
        <v/>
      </c>
      <c r="K246" s="9"/>
    </row>
    <row r="247" customFormat="false" ht="15" hidden="false" customHeight="false" outlineLevel="0" collapsed="false">
      <c r="A247" s="7"/>
      <c r="B247" s="8"/>
      <c r="C247" s="9"/>
      <c r="D247" s="20"/>
      <c r="E247" s="10"/>
      <c r="F247" s="9"/>
      <c r="G247" s="11" t="str">
        <f aca="false">IF(C247="","",IFERROR(INDEX(Catálogo!$B$5:$B$2000,MATCH(C247,Catálogo!$A$5:$A$2000,0)),""))</f>
        <v/>
      </c>
      <c r="H247" s="11" t="str">
        <f aca="false">IF(C247="","",IFERROR(INDEX(Catálogo!$C$5:$C$2000,MATCH(C247,Catálogo!$A$5:$A$2000,0)),""))</f>
        <v/>
      </c>
      <c r="I247" s="11" t="str">
        <f aca="false">IF(D247="","",IF(D247&gt;UmbralAlarma,"Alarmante",IF(D247&gt;=UmbralRegular,"Regular","Bueno")))</f>
        <v/>
      </c>
      <c r="J247" s="11" t="str">
        <f aca="true">IF(COUNTA(A247:F247)=0,"",IF(OR(A247="",B247="",C247="",D247=""),"Faltan datos",IF(G247="","AP no está en el catálogo",IF(A247&gt;TODAY()+1,"Fecha futura",IF(OR(D247&lt;0,D247&lt;&gt;INT(D247)),"Usuarios no válidos",IF(AND(E247&lt;&gt;"",OR(E247&lt;0,E247&gt;1)),"Utilización fuera de 0-100%",IF(COUNTIFS($A$5:$A$604,A247,$B$5:$B$604,B247,$C$5:$C$604,C247)&gt;1,"Fila duplicada","OK")))))))</f>
        <v/>
      </c>
      <c r="K247" s="9"/>
    </row>
    <row r="248" customFormat="false" ht="15" hidden="false" customHeight="false" outlineLevel="0" collapsed="false">
      <c r="A248" s="7"/>
      <c r="B248" s="8"/>
      <c r="C248" s="9"/>
      <c r="D248" s="20"/>
      <c r="E248" s="10"/>
      <c r="F248" s="9"/>
      <c r="G248" s="11" t="str">
        <f aca="false">IF(C248="","",IFERROR(INDEX(Catálogo!$B$5:$B$2000,MATCH(C248,Catálogo!$A$5:$A$2000,0)),""))</f>
        <v/>
      </c>
      <c r="H248" s="11" t="str">
        <f aca="false">IF(C248="","",IFERROR(INDEX(Catálogo!$C$5:$C$2000,MATCH(C248,Catálogo!$A$5:$A$2000,0)),""))</f>
        <v/>
      </c>
      <c r="I248" s="11" t="str">
        <f aca="false">IF(D248="","",IF(D248&gt;UmbralAlarma,"Alarmante",IF(D248&gt;=UmbralRegular,"Regular","Bueno")))</f>
        <v/>
      </c>
      <c r="J248" s="11" t="str">
        <f aca="true">IF(COUNTA(A248:F248)=0,"",IF(OR(A248="",B248="",C248="",D248=""),"Faltan datos",IF(G248="","AP no está en el catálogo",IF(A248&gt;TODAY()+1,"Fecha futura",IF(OR(D248&lt;0,D248&lt;&gt;INT(D248)),"Usuarios no válidos",IF(AND(E248&lt;&gt;"",OR(E248&lt;0,E248&gt;1)),"Utilización fuera de 0-100%",IF(COUNTIFS($A$5:$A$604,A248,$B$5:$B$604,B248,$C$5:$C$604,C248)&gt;1,"Fila duplicada","OK")))))))</f>
        <v/>
      </c>
      <c r="K248" s="9"/>
    </row>
    <row r="249" customFormat="false" ht="15" hidden="false" customHeight="false" outlineLevel="0" collapsed="false">
      <c r="A249" s="7"/>
      <c r="B249" s="8"/>
      <c r="C249" s="9"/>
      <c r="D249" s="20"/>
      <c r="E249" s="10"/>
      <c r="F249" s="9"/>
      <c r="G249" s="11" t="str">
        <f aca="false">IF(C249="","",IFERROR(INDEX(Catálogo!$B$5:$B$2000,MATCH(C249,Catálogo!$A$5:$A$2000,0)),""))</f>
        <v/>
      </c>
      <c r="H249" s="11" t="str">
        <f aca="false">IF(C249="","",IFERROR(INDEX(Catálogo!$C$5:$C$2000,MATCH(C249,Catálogo!$A$5:$A$2000,0)),""))</f>
        <v/>
      </c>
      <c r="I249" s="11" t="str">
        <f aca="false">IF(D249="","",IF(D249&gt;UmbralAlarma,"Alarmante",IF(D249&gt;=UmbralRegular,"Regular","Bueno")))</f>
        <v/>
      </c>
      <c r="J249" s="11" t="str">
        <f aca="true">IF(COUNTA(A249:F249)=0,"",IF(OR(A249="",B249="",C249="",D249=""),"Faltan datos",IF(G249="","AP no está en el catálogo",IF(A249&gt;TODAY()+1,"Fecha futura",IF(OR(D249&lt;0,D249&lt;&gt;INT(D249)),"Usuarios no válidos",IF(AND(E249&lt;&gt;"",OR(E249&lt;0,E249&gt;1)),"Utilización fuera de 0-100%",IF(COUNTIFS($A$5:$A$604,A249,$B$5:$B$604,B249,$C$5:$C$604,C249)&gt;1,"Fila duplicada","OK")))))))</f>
        <v/>
      </c>
      <c r="K249" s="9"/>
    </row>
    <row r="250" customFormat="false" ht="15" hidden="false" customHeight="false" outlineLevel="0" collapsed="false">
      <c r="A250" s="7"/>
      <c r="B250" s="8"/>
      <c r="C250" s="9"/>
      <c r="D250" s="20"/>
      <c r="E250" s="10"/>
      <c r="F250" s="9"/>
      <c r="G250" s="11" t="str">
        <f aca="false">IF(C250="","",IFERROR(INDEX(Catálogo!$B$5:$B$2000,MATCH(C250,Catálogo!$A$5:$A$2000,0)),""))</f>
        <v/>
      </c>
      <c r="H250" s="11" t="str">
        <f aca="false">IF(C250="","",IFERROR(INDEX(Catálogo!$C$5:$C$2000,MATCH(C250,Catálogo!$A$5:$A$2000,0)),""))</f>
        <v/>
      </c>
      <c r="I250" s="11" t="str">
        <f aca="false">IF(D250="","",IF(D250&gt;UmbralAlarma,"Alarmante",IF(D250&gt;=UmbralRegular,"Regular","Bueno")))</f>
        <v/>
      </c>
      <c r="J250" s="11" t="str">
        <f aca="true">IF(COUNTA(A250:F250)=0,"",IF(OR(A250="",B250="",C250="",D250=""),"Faltan datos",IF(G250="","AP no está en el catálogo",IF(A250&gt;TODAY()+1,"Fecha futura",IF(OR(D250&lt;0,D250&lt;&gt;INT(D250)),"Usuarios no válidos",IF(AND(E250&lt;&gt;"",OR(E250&lt;0,E250&gt;1)),"Utilización fuera de 0-100%",IF(COUNTIFS($A$5:$A$604,A250,$B$5:$B$604,B250,$C$5:$C$604,C250)&gt;1,"Fila duplicada","OK")))))))</f>
        <v/>
      </c>
      <c r="K250" s="9"/>
    </row>
    <row r="251" customFormat="false" ht="15" hidden="false" customHeight="false" outlineLevel="0" collapsed="false">
      <c r="A251" s="7"/>
      <c r="B251" s="8"/>
      <c r="C251" s="9"/>
      <c r="D251" s="20"/>
      <c r="E251" s="10"/>
      <c r="F251" s="9"/>
      <c r="G251" s="11" t="str">
        <f aca="false">IF(C251="","",IFERROR(INDEX(Catálogo!$B$5:$B$2000,MATCH(C251,Catálogo!$A$5:$A$2000,0)),""))</f>
        <v/>
      </c>
      <c r="H251" s="11" t="str">
        <f aca="false">IF(C251="","",IFERROR(INDEX(Catálogo!$C$5:$C$2000,MATCH(C251,Catálogo!$A$5:$A$2000,0)),""))</f>
        <v/>
      </c>
      <c r="I251" s="11" t="str">
        <f aca="false">IF(D251="","",IF(D251&gt;UmbralAlarma,"Alarmante",IF(D251&gt;=UmbralRegular,"Regular","Bueno")))</f>
        <v/>
      </c>
      <c r="J251" s="11" t="str">
        <f aca="true">IF(COUNTA(A251:F251)=0,"",IF(OR(A251="",B251="",C251="",D251=""),"Faltan datos",IF(G251="","AP no está en el catálogo",IF(A251&gt;TODAY()+1,"Fecha futura",IF(OR(D251&lt;0,D251&lt;&gt;INT(D251)),"Usuarios no válidos",IF(AND(E251&lt;&gt;"",OR(E251&lt;0,E251&gt;1)),"Utilización fuera de 0-100%",IF(COUNTIFS($A$5:$A$604,A251,$B$5:$B$604,B251,$C$5:$C$604,C251)&gt;1,"Fila duplicada","OK")))))))</f>
        <v/>
      </c>
      <c r="K251" s="9"/>
    </row>
    <row r="252" customFormat="false" ht="15" hidden="false" customHeight="false" outlineLevel="0" collapsed="false">
      <c r="A252" s="7"/>
      <c r="B252" s="8"/>
      <c r="C252" s="9"/>
      <c r="D252" s="20"/>
      <c r="E252" s="10"/>
      <c r="F252" s="9"/>
      <c r="G252" s="11" t="str">
        <f aca="false">IF(C252="","",IFERROR(INDEX(Catálogo!$B$5:$B$2000,MATCH(C252,Catálogo!$A$5:$A$2000,0)),""))</f>
        <v/>
      </c>
      <c r="H252" s="11" t="str">
        <f aca="false">IF(C252="","",IFERROR(INDEX(Catálogo!$C$5:$C$2000,MATCH(C252,Catálogo!$A$5:$A$2000,0)),""))</f>
        <v/>
      </c>
      <c r="I252" s="11" t="str">
        <f aca="false">IF(D252="","",IF(D252&gt;UmbralAlarma,"Alarmante",IF(D252&gt;=UmbralRegular,"Regular","Bueno")))</f>
        <v/>
      </c>
      <c r="J252" s="11" t="str">
        <f aca="true">IF(COUNTA(A252:F252)=0,"",IF(OR(A252="",B252="",C252="",D252=""),"Faltan datos",IF(G252="","AP no está en el catálogo",IF(A252&gt;TODAY()+1,"Fecha futura",IF(OR(D252&lt;0,D252&lt;&gt;INT(D252)),"Usuarios no válidos",IF(AND(E252&lt;&gt;"",OR(E252&lt;0,E252&gt;1)),"Utilización fuera de 0-100%",IF(COUNTIFS($A$5:$A$604,A252,$B$5:$B$604,B252,$C$5:$C$604,C252)&gt;1,"Fila duplicada","OK")))))))</f>
        <v/>
      </c>
      <c r="K252" s="9"/>
    </row>
    <row r="253" customFormat="false" ht="15" hidden="false" customHeight="false" outlineLevel="0" collapsed="false">
      <c r="A253" s="7"/>
      <c r="B253" s="8"/>
      <c r="C253" s="9"/>
      <c r="D253" s="20"/>
      <c r="E253" s="10"/>
      <c r="F253" s="9"/>
      <c r="G253" s="11" t="str">
        <f aca="false">IF(C253="","",IFERROR(INDEX(Catálogo!$B$5:$B$2000,MATCH(C253,Catálogo!$A$5:$A$2000,0)),""))</f>
        <v/>
      </c>
      <c r="H253" s="11" t="str">
        <f aca="false">IF(C253="","",IFERROR(INDEX(Catálogo!$C$5:$C$2000,MATCH(C253,Catálogo!$A$5:$A$2000,0)),""))</f>
        <v/>
      </c>
      <c r="I253" s="11" t="str">
        <f aca="false">IF(D253="","",IF(D253&gt;UmbralAlarma,"Alarmante",IF(D253&gt;=UmbralRegular,"Regular","Bueno")))</f>
        <v/>
      </c>
      <c r="J253" s="11" t="str">
        <f aca="true">IF(COUNTA(A253:F253)=0,"",IF(OR(A253="",B253="",C253="",D253=""),"Faltan datos",IF(G253="","AP no está en el catálogo",IF(A253&gt;TODAY()+1,"Fecha futura",IF(OR(D253&lt;0,D253&lt;&gt;INT(D253)),"Usuarios no válidos",IF(AND(E253&lt;&gt;"",OR(E253&lt;0,E253&gt;1)),"Utilización fuera de 0-100%",IF(COUNTIFS($A$5:$A$604,A253,$B$5:$B$604,B253,$C$5:$C$604,C253)&gt;1,"Fila duplicada","OK")))))))</f>
        <v/>
      </c>
      <c r="K253" s="9"/>
    </row>
    <row r="254" customFormat="false" ht="15" hidden="false" customHeight="false" outlineLevel="0" collapsed="false">
      <c r="A254" s="7"/>
      <c r="B254" s="8"/>
      <c r="C254" s="9"/>
      <c r="D254" s="20"/>
      <c r="E254" s="10"/>
      <c r="F254" s="9"/>
      <c r="G254" s="11" t="str">
        <f aca="false">IF(C254="","",IFERROR(INDEX(Catálogo!$B$5:$B$2000,MATCH(C254,Catálogo!$A$5:$A$2000,0)),""))</f>
        <v/>
      </c>
      <c r="H254" s="11" t="str">
        <f aca="false">IF(C254="","",IFERROR(INDEX(Catálogo!$C$5:$C$2000,MATCH(C254,Catálogo!$A$5:$A$2000,0)),""))</f>
        <v/>
      </c>
      <c r="I254" s="11" t="str">
        <f aca="false">IF(D254="","",IF(D254&gt;UmbralAlarma,"Alarmante",IF(D254&gt;=UmbralRegular,"Regular","Bueno")))</f>
        <v/>
      </c>
      <c r="J254" s="11" t="str">
        <f aca="true">IF(COUNTA(A254:F254)=0,"",IF(OR(A254="",B254="",C254="",D254=""),"Faltan datos",IF(G254="","AP no está en el catálogo",IF(A254&gt;TODAY()+1,"Fecha futura",IF(OR(D254&lt;0,D254&lt;&gt;INT(D254)),"Usuarios no válidos",IF(AND(E254&lt;&gt;"",OR(E254&lt;0,E254&gt;1)),"Utilización fuera de 0-100%",IF(COUNTIFS($A$5:$A$604,A254,$B$5:$B$604,B254,$C$5:$C$604,C254)&gt;1,"Fila duplicada","OK")))))))</f>
        <v/>
      </c>
      <c r="K254" s="9"/>
    </row>
    <row r="255" customFormat="false" ht="15" hidden="false" customHeight="false" outlineLevel="0" collapsed="false">
      <c r="A255" s="7"/>
      <c r="B255" s="8"/>
      <c r="C255" s="9"/>
      <c r="D255" s="20"/>
      <c r="E255" s="10"/>
      <c r="F255" s="9"/>
      <c r="G255" s="11" t="str">
        <f aca="false">IF(C255="","",IFERROR(INDEX(Catálogo!$B$5:$B$2000,MATCH(C255,Catálogo!$A$5:$A$2000,0)),""))</f>
        <v/>
      </c>
      <c r="H255" s="11" t="str">
        <f aca="false">IF(C255="","",IFERROR(INDEX(Catálogo!$C$5:$C$2000,MATCH(C255,Catálogo!$A$5:$A$2000,0)),""))</f>
        <v/>
      </c>
      <c r="I255" s="11" t="str">
        <f aca="false">IF(D255="","",IF(D255&gt;UmbralAlarma,"Alarmante",IF(D255&gt;=UmbralRegular,"Regular","Bueno")))</f>
        <v/>
      </c>
      <c r="J255" s="11" t="str">
        <f aca="true">IF(COUNTA(A255:F255)=0,"",IF(OR(A255="",B255="",C255="",D255=""),"Faltan datos",IF(G255="","AP no está en el catálogo",IF(A255&gt;TODAY()+1,"Fecha futura",IF(OR(D255&lt;0,D255&lt;&gt;INT(D255)),"Usuarios no válidos",IF(AND(E255&lt;&gt;"",OR(E255&lt;0,E255&gt;1)),"Utilización fuera de 0-100%",IF(COUNTIFS($A$5:$A$604,A255,$B$5:$B$604,B255,$C$5:$C$604,C255)&gt;1,"Fila duplicada","OK")))))))</f>
        <v/>
      </c>
      <c r="K255" s="9"/>
    </row>
    <row r="256" customFormat="false" ht="15" hidden="false" customHeight="false" outlineLevel="0" collapsed="false">
      <c r="A256" s="7"/>
      <c r="B256" s="8"/>
      <c r="C256" s="9"/>
      <c r="D256" s="20"/>
      <c r="E256" s="10"/>
      <c r="F256" s="9"/>
      <c r="G256" s="11" t="str">
        <f aca="false">IF(C256="","",IFERROR(INDEX(Catálogo!$B$5:$B$2000,MATCH(C256,Catálogo!$A$5:$A$2000,0)),""))</f>
        <v/>
      </c>
      <c r="H256" s="11" t="str">
        <f aca="false">IF(C256="","",IFERROR(INDEX(Catálogo!$C$5:$C$2000,MATCH(C256,Catálogo!$A$5:$A$2000,0)),""))</f>
        <v/>
      </c>
      <c r="I256" s="11" t="str">
        <f aca="false">IF(D256="","",IF(D256&gt;UmbralAlarma,"Alarmante",IF(D256&gt;=UmbralRegular,"Regular","Bueno")))</f>
        <v/>
      </c>
      <c r="J256" s="11" t="str">
        <f aca="true">IF(COUNTA(A256:F256)=0,"",IF(OR(A256="",B256="",C256="",D256=""),"Faltan datos",IF(G256="","AP no está en el catálogo",IF(A256&gt;TODAY()+1,"Fecha futura",IF(OR(D256&lt;0,D256&lt;&gt;INT(D256)),"Usuarios no válidos",IF(AND(E256&lt;&gt;"",OR(E256&lt;0,E256&gt;1)),"Utilización fuera de 0-100%",IF(COUNTIFS($A$5:$A$604,A256,$B$5:$B$604,B256,$C$5:$C$604,C256)&gt;1,"Fila duplicada","OK")))))))</f>
        <v/>
      </c>
      <c r="K256" s="9"/>
    </row>
    <row r="257" customFormat="false" ht="15" hidden="false" customHeight="false" outlineLevel="0" collapsed="false">
      <c r="A257" s="7"/>
      <c r="B257" s="8"/>
      <c r="C257" s="9"/>
      <c r="D257" s="20"/>
      <c r="E257" s="10"/>
      <c r="F257" s="9"/>
      <c r="G257" s="11" t="str">
        <f aca="false">IF(C257="","",IFERROR(INDEX(Catálogo!$B$5:$B$2000,MATCH(C257,Catálogo!$A$5:$A$2000,0)),""))</f>
        <v/>
      </c>
      <c r="H257" s="11" t="str">
        <f aca="false">IF(C257="","",IFERROR(INDEX(Catálogo!$C$5:$C$2000,MATCH(C257,Catálogo!$A$5:$A$2000,0)),""))</f>
        <v/>
      </c>
      <c r="I257" s="11" t="str">
        <f aca="false">IF(D257="","",IF(D257&gt;UmbralAlarma,"Alarmante",IF(D257&gt;=UmbralRegular,"Regular","Bueno")))</f>
        <v/>
      </c>
      <c r="J257" s="11" t="str">
        <f aca="true">IF(COUNTA(A257:F257)=0,"",IF(OR(A257="",B257="",C257="",D257=""),"Faltan datos",IF(G257="","AP no está en el catálogo",IF(A257&gt;TODAY()+1,"Fecha futura",IF(OR(D257&lt;0,D257&lt;&gt;INT(D257)),"Usuarios no válidos",IF(AND(E257&lt;&gt;"",OR(E257&lt;0,E257&gt;1)),"Utilización fuera de 0-100%",IF(COUNTIFS($A$5:$A$604,A257,$B$5:$B$604,B257,$C$5:$C$604,C257)&gt;1,"Fila duplicada","OK")))))))</f>
        <v/>
      </c>
      <c r="K257" s="9"/>
    </row>
    <row r="258" customFormat="false" ht="15" hidden="false" customHeight="false" outlineLevel="0" collapsed="false">
      <c r="A258" s="7"/>
      <c r="B258" s="8"/>
      <c r="C258" s="9"/>
      <c r="D258" s="20"/>
      <c r="E258" s="10"/>
      <c r="F258" s="9"/>
      <c r="G258" s="11" t="str">
        <f aca="false">IF(C258="","",IFERROR(INDEX(Catálogo!$B$5:$B$2000,MATCH(C258,Catálogo!$A$5:$A$2000,0)),""))</f>
        <v/>
      </c>
      <c r="H258" s="11" t="str">
        <f aca="false">IF(C258="","",IFERROR(INDEX(Catálogo!$C$5:$C$2000,MATCH(C258,Catálogo!$A$5:$A$2000,0)),""))</f>
        <v/>
      </c>
      <c r="I258" s="11" t="str">
        <f aca="false">IF(D258="","",IF(D258&gt;UmbralAlarma,"Alarmante",IF(D258&gt;=UmbralRegular,"Regular","Bueno")))</f>
        <v/>
      </c>
      <c r="J258" s="11" t="str">
        <f aca="true">IF(COUNTA(A258:F258)=0,"",IF(OR(A258="",B258="",C258="",D258=""),"Faltan datos",IF(G258="","AP no está en el catálogo",IF(A258&gt;TODAY()+1,"Fecha futura",IF(OR(D258&lt;0,D258&lt;&gt;INT(D258)),"Usuarios no válidos",IF(AND(E258&lt;&gt;"",OR(E258&lt;0,E258&gt;1)),"Utilización fuera de 0-100%",IF(COUNTIFS($A$5:$A$604,A258,$B$5:$B$604,B258,$C$5:$C$604,C258)&gt;1,"Fila duplicada","OK")))))))</f>
        <v/>
      </c>
      <c r="K258" s="9"/>
    </row>
    <row r="259" customFormat="false" ht="15" hidden="false" customHeight="false" outlineLevel="0" collapsed="false">
      <c r="A259" s="7"/>
      <c r="B259" s="8"/>
      <c r="C259" s="9"/>
      <c r="D259" s="20"/>
      <c r="E259" s="10"/>
      <c r="F259" s="9"/>
      <c r="G259" s="11" t="str">
        <f aca="false">IF(C259="","",IFERROR(INDEX(Catálogo!$B$5:$B$2000,MATCH(C259,Catálogo!$A$5:$A$2000,0)),""))</f>
        <v/>
      </c>
      <c r="H259" s="11" t="str">
        <f aca="false">IF(C259="","",IFERROR(INDEX(Catálogo!$C$5:$C$2000,MATCH(C259,Catálogo!$A$5:$A$2000,0)),""))</f>
        <v/>
      </c>
      <c r="I259" s="11" t="str">
        <f aca="false">IF(D259="","",IF(D259&gt;UmbralAlarma,"Alarmante",IF(D259&gt;=UmbralRegular,"Regular","Bueno")))</f>
        <v/>
      </c>
      <c r="J259" s="11" t="str">
        <f aca="true">IF(COUNTA(A259:F259)=0,"",IF(OR(A259="",B259="",C259="",D259=""),"Faltan datos",IF(G259="","AP no está en el catálogo",IF(A259&gt;TODAY()+1,"Fecha futura",IF(OR(D259&lt;0,D259&lt;&gt;INT(D259)),"Usuarios no válidos",IF(AND(E259&lt;&gt;"",OR(E259&lt;0,E259&gt;1)),"Utilización fuera de 0-100%",IF(COUNTIFS($A$5:$A$604,A259,$B$5:$B$604,B259,$C$5:$C$604,C259)&gt;1,"Fila duplicada","OK")))))))</f>
        <v/>
      </c>
      <c r="K259" s="9"/>
    </row>
    <row r="260" customFormat="false" ht="15" hidden="false" customHeight="false" outlineLevel="0" collapsed="false">
      <c r="A260" s="7"/>
      <c r="B260" s="8"/>
      <c r="C260" s="9"/>
      <c r="D260" s="20"/>
      <c r="E260" s="10"/>
      <c r="F260" s="9"/>
      <c r="G260" s="11" t="str">
        <f aca="false">IF(C260="","",IFERROR(INDEX(Catálogo!$B$5:$B$2000,MATCH(C260,Catálogo!$A$5:$A$2000,0)),""))</f>
        <v/>
      </c>
      <c r="H260" s="11" t="str">
        <f aca="false">IF(C260="","",IFERROR(INDEX(Catálogo!$C$5:$C$2000,MATCH(C260,Catálogo!$A$5:$A$2000,0)),""))</f>
        <v/>
      </c>
      <c r="I260" s="11" t="str">
        <f aca="false">IF(D260="","",IF(D260&gt;UmbralAlarma,"Alarmante",IF(D260&gt;=UmbralRegular,"Regular","Bueno")))</f>
        <v/>
      </c>
      <c r="J260" s="11" t="str">
        <f aca="true">IF(COUNTA(A260:F260)=0,"",IF(OR(A260="",B260="",C260="",D260=""),"Faltan datos",IF(G260="","AP no está en el catálogo",IF(A260&gt;TODAY()+1,"Fecha futura",IF(OR(D260&lt;0,D260&lt;&gt;INT(D260)),"Usuarios no válidos",IF(AND(E260&lt;&gt;"",OR(E260&lt;0,E260&gt;1)),"Utilización fuera de 0-100%",IF(COUNTIFS($A$5:$A$604,A260,$B$5:$B$604,B260,$C$5:$C$604,C260)&gt;1,"Fila duplicada","OK")))))))</f>
        <v/>
      </c>
      <c r="K260" s="9"/>
    </row>
    <row r="261" customFormat="false" ht="15" hidden="false" customHeight="false" outlineLevel="0" collapsed="false">
      <c r="A261" s="7"/>
      <c r="B261" s="8"/>
      <c r="C261" s="9"/>
      <c r="D261" s="20"/>
      <c r="E261" s="10"/>
      <c r="F261" s="9"/>
      <c r="G261" s="11" t="str">
        <f aca="false">IF(C261="","",IFERROR(INDEX(Catálogo!$B$5:$B$2000,MATCH(C261,Catálogo!$A$5:$A$2000,0)),""))</f>
        <v/>
      </c>
      <c r="H261" s="11" t="str">
        <f aca="false">IF(C261="","",IFERROR(INDEX(Catálogo!$C$5:$C$2000,MATCH(C261,Catálogo!$A$5:$A$2000,0)),""))</f>
        <v/>
      </c>
      <c r="I261" s="11" t="str">
        <f aca="false">IF(D261="","",IF(D261&gt;UmbralAlarma,"Alarmante",IF(D261&gt;=UmbralRegular,"Regular","Bueno")))</f>
        <v/>
      </c>
      <c r="J261" s="11" t="str">
        <f aca="true">IF(COUNTA(A261:F261)=0,"",IF(OR(A261="",B261="",C261="",D261=""),"Faltan datos",IF(G261="","AP no está en el catálogo",IF(A261&gt;TODAY()+1,"Fecha futura",IF(OR(D261&lt;0,D261&lt;&gt;INT(D261)),"Usuarios no válidos",IF(AND(E261&lt;&gt;"",OR(E261&lt;0,E261&gt;1)),"Utilización fuera de 0-100%",IF(COUNTIFS($A$5:$A$604,A261,$B$5:$B$604,B261,$C$5:$C$604,C261)&gt;1,"Fila duplicada","OK")))))))</f>
        <v/>
      </c>
      <c r="K261" s="9"/>
    </row>
    <row r="262" customFormat="false" ht="15" hidden="false" customHeight="false" outlineLevel="0" collapsed="false">
      <c r="A262" s="7"/>
      <c r="B262" s="8"/>
      <c r="C262" s="9"/>
      <c r="D262" s="20"/>
      <c r="E262" s="10"/>
      <c r="F262" s="9"/>
      <c r="G262" s="11" t="str">
        <f aca="false">IF(C262="","",IFERROR(INDEX(Catálogo!$B$5:$B$2000,MATCH(C262,Catálogo!$A$5:$A$2000,0)),""))</f>
        <v/>
      </c>
      <c r="H262" s="11" t="str">
        <f aca="false">IF(C262="","",IFERROR(INDEX(Catálogo!$C$5:$C$2000,MATCH(C262,Catálogo!$A$5:$A$2000,0)),""))</f>
        <v/>
      </c>
      <c r="I262" s="11" t="str">
        <f aca="false">IF(D262="","",IF(D262&gt;UmbralAlarma,"Alarmante",IF(D262&gt;=UmbralRegular,"Regular","Bueno")))</f>
        <v/>
      </c>
      <c r="J262" s="11" t="str">
        <f aca="true">IF(COUNTA(A262:F262)=0,"",IF(OR(A262="",B262="",C262="",D262=""),"Faltan datos",IF(G262="","AP no está en el catálogo",IF(A262&gt;TODAY()+1,"Fecha futura",IF(OR(D262&lt;0,D262&lt;&gt;INT(D262)),"Usuarios no válidos",IF(AND(E262&lt;&gt;"",OR(E262&lt;0,E262&gt;1)),"Utilización fuera de 0-100%",IF(COUNTIFS($A$5:$A$604,A262,$B$5:$B$604,B262,$C$5:$C$604,C262)&gt;1,"Fila duplicada","OK")))))))</f>
        <v/>
      </c>
      <c r="K262" s="9"/>
    </row>
    <row r="263" customFormat="false" ht="15" hidden="false" customHeight="false" outlineLevel="0" collapsed="false">
      <c r="A263" s="7"/>
      <c r="B263" s="8"/>
      <c r="C263" s="9"/>
      <c r="D263" s="20"/>
      <c r="E263" s="10"/>
      <c r="F263" s="9"/>
      <c r="G263" s="11" t="str">
        <f aca="false">IF(C263="","",IFERROR(INDEX(Catálogo!$B$5:$B$2000,MATCH(C263,Catálogo!$A$5:$A$2000,0)),""))</f>
        <v/>
      </c>
      <c r="H263" s="11" t="str">
        <f aca="false">IF(C263="","",IFERROR(INDEX(Catálogo!$C$5:$C$2000,MATCH(C263,Catálogo!$A$5:$A$2000,0)),""))</f>
        <v/>
      </c>
      <c r="I263" s="11" t="str">
        <f aca="false">IF(D263="","",IF(D263&gt;UmbralAlarma,"Alarmante",IF(D263&gt;=UmbralRegular,"Regular","Bueno")))</f>
        <v/>
      </c>
      <c r="J263" s="11" t="str">
        <f aca="true">IF(COUNTA(A263:F263)=0,"",IF(OR(A263="",B263="",C263="",D263=""),"Faltan datos",IF(G263="","AP no está en el catálogo",IF(A263&gt;TODAY()+1,"Fecha futura",IF(OR(D263&lt;0,D263&lt;&gt;INT(D263)),"Usuarios no válidos",IF(AND(E263&lt;&gt;"",OR(E263&lt;0,E263&gt;1)),"Utilización fuera de 0-100%",IF(COUNTIFS($A$5:$A$604,A263,$B$5:$B$604,B263,$C$5:$C$604,C263)&gt;1,"Fila duplicada","OK")))))))</f>
        <v/>
      </c>
      <c r="K263" s="9"/>
    </row>
    <row r="264" customFormat="false" ht="15" hidden="false" customHeight="false" outlineLevel="0" collapsed="false">
      <c r="A264" s="7"/>
      <c r="B264" s="8"/>
      <c r="C264" s="9"/>
      <c r="D264" s="20"/>
      <c r="E264" s="10"/>
      <c r="F264" s="9"/>
      <c r="G264" s="11" t="str">
        <f aca="false">IF(C264="","",IFERROR(INDEX(Catálogo!$B$5:$B$2000,MATCH(C264,Catálogo!$A$5:$A$2000,0)),""))</f>
        <v/>
      </c>
      <c r="H264" s="11" t="str">
        <f aca="false">IF(C264="","",IFERROR(INDEX(Catálogo!$C$5:$C$2000,MATCH(C264,Catálogo!$A$5:$A$2000,0)),""))</f>
        <v/>
      </c>
      <c r="I264" s="11" t="str">
        <f aca="false">IF(D264="","",IF(D264&gt;UmbralAlarma,"Alarmante",IF(D264&gt;=UmbralRegular,"Regular","Bueno")))</f>
        <v/>
      </c>
      <c r="J264" s="11" t="str">
        <f aca="true">IF(COUNTA(A264:F264)=0,"",IF(OR(A264="",B264="",C264="",D264=""),"Faltan datos",IF(G264="","AP no está en el catálogo",IF(A264&gt;TODAY()+1,"Fecha futura",IF(OR(D264&lt;0,D264&lt;&gt;INT(D264)),"Usuarios no válidos",IF(AND(E264&lt;&gt;"",OR(E264&lt;0,E264&gt;1)),"Utilización fuera de 0-100%",IF(COUNTIFS($A$5:$A$604,A264,$B$5:$B$604,B264,$C$5:$C$604,C264)&gt;1,"Fila duplicada","OK")))))))</f>
        <v/>
      </c>
      <c r="K264" s="9"/>
    </row>
    <row r="265" customFormat="false" ht="15" hidden="false" customHeight="false" outlineLevel="0" collapsed="false">
      <c r="A265" s="7"/>
      <c r="B265" s="8"/>
      <c r="C265" s="9"/>
      <c r="D265" s="20"/>
      <c r="E265" s="10"/>
      <c r="F265" s="9"/>
      <c r="G265" s="11" t="str">
        <f aca="false">IF(C265="","",IFERROR(INDEX(Catálogo!$B$5:$B$2000,MATCH(C265,Catálogo!$A$5:$A$2000,0)),""))</f>
        <v/>
      </c>
      <c r="H265" s="11" t="str">
        <f aca="false">IF(C265="","",IFERROR(INDEX(Catálogo!$C$5:$C$2000,MATCH(C265,Catálogo!$A$5:$A$2000,0)),""))</f>
        <v/>
      </c>
      <c r="I265" s="11" t="str">
        <f aca="false">IF(D265="","",IF(D265&gt;UmbralAlarma,"Alarmante",IF(D265&gt;=UmbralRegular,"Regular","Bueno")))</f>
        <v/>
      </c>
      <c r="J265" s="11" t="str">
        <f aca="true">IF(COUNTA(A265:F265)=0,"",IF(OR(A265="",B265="",C265="",D265=""),"Faltan datos",IF(G265="","AP no está en el catálogo",IF(A265&gt;TODAY()+1,"Fecha futura",IF(OR(D265&lt;0,D265&lt;&gt;INT(D265)),"Usuarios no válidos",IF(AND(E265&lt;&gt;"",OR(E265&lt;0,E265&gt;1)),"Utilización fuera de 0-100%",IF(COUNTIFS($A$5:$A$604,A265,$B$5:$B$604,B265,$C$5:$C$604,C265)&gt;1,"Fila duplicada","OK")))))))</f>
        <v/>
      </c>
      <c r="K265" s="9"/>
    </row>
    <row r="266" customFormat="false" ht="15" hidden="false" customHeight="false" outlineLevel="0" collapsed="false">
      <c r="A266" s="7"/>
      <c r="B266" s="8"/>
      <c r="C266" s="9"/>
      <c r="D266" s="20"/>
      <c r="E266" s="10"/>
      <c r="F266" s="9"/>
      <c r="G266" s="11" t="str">
        <f aca="false">IF(C266="","",IFERROR(INDEX(Catálogo!$B$5:$B$2000,MATCH(C266,Catálogo!$A$5:$A$2000,0)),""))</f>
        <v/>
      </c>
      <c r="H266" s="11" t="str">
        <f aca="false">IF(C266="","",IFERROR(INDEX(Catálogo!$C$5:$C$2000,MATCH(C266,Catálogo!$A$5:$A$2000,0)),""))</f>
        <v/>
      </c>
      <c r="I266" s="11" t="str">
        <f aca="false">IF(D266="","",IF(D266&gt;UmbralAlarma,"Alarmante",IF(D266&gt;=UmbralRegular,"Regular","Bueno")))</f>
        <v/>
      </c>
      <c r="J266" s="11" t="str">
        <f aca="true">IF(COUNTA(A266:F266)=0,"",IF(OR(A266="",B266="",C266="",D266=""),"Faltan datos",IF(G266="","AP no está en el catálogo",IF(A266&gt;TODAY()+1,"Fecha futura",IF(OR(D266&lt;0,D266&lt;&gt;INT(D266)),"Usuarios no válidos",IF(AND(E266&lt;&gt;"",OR(E266&lt;0,E266&gt;1)),"Utilización fuera de 0-100%",IF(COUNTIFS($A$5:$A$604,A266,$B$5:$B$604,B266,$C$5:$C$604,C266)&gt;1,"Fila duplicada","OK")))))))</f>
        <v/>
      </c>
      <c r="K266" s="9"/>
    </row>
    <row r="267" customFormat="false" ht="15" hidden="false" customHeight="false" outlineLevel="0" collapsed="false">
      <c r="A267" s="7"/>
      <c r="B267" s="8"/>
      <c r="C267" s="9"/>
      <c r="D267" s="20"/>
      <c r="E267" s="10"/>
      <c r="F267" s="9"/>
      <c r="G267" s="11" t="str">
        <f aca="false">IF(C267="","",IFERROR(INDEX(Catálogo!$B$5:$B$2000,MATCH(C267,Catálogo!$A$5:$A$2000,0)),""))</f>
        <v/>
      </c>
      <c r="H267" s="11" t="str">
        <f aca="false">IF(C267="","",IFERROR(INDEX(Catálogo!$C$5:$C$2000,MATCH(C267,Catálogo!$A$5:$A$2000,0)),""))</f>
        <v/>
      </c>
      <c r="I267" s="11" t="str">
        <f aca="false">IF(D267="","",IF(D267&gt;UmbralAlarma,"Alarmante",IF(D267&gt;=UmbralRegular,"Regular","Bueno")))</f>
        <v/>
      </c>
      <c r="J267" s="11" t="str">
        <f aca="true">IF(COUNTA(A267:F267)=0,"",IF(OR(A267="",B267="",C267="",D267=""),"Faltan datos",IF(G267="","AP no está en el catálogo",IF(A267&gt;TODAY()+1,"Fecha futura",IF(OR(D267&lt;0,D267&lt;&gt;INT(D267)),"Usuarios no válidos",IF(AND(E267&lt;&gt;"",OR(E267&lt;0,E267&gt;1)),"Utilización fuera de 0-100%",IF(COUNTIFS($A$5:$A$604,A267,$B$5:$B$604,B267,$C$5:$C$604,C267)&gt;1,"Fila duplicada","OK")))))))</f>
        <v/>
      </c>
      <c r="K267" s="9"/>
    </row>
    <row r="268" customFormat="false" ht="15" hidden="false" customHeight="false" outlineLevel="0" collapsed="false">
      <c r="A268" s="7"/>
      <c r="B268" s="8"/>
      <c r="C268" s="9"/>
      <c r="D268" s="20"/>
      <c r="E268" s="10"/>
      <c r="F268" s="9"/>
      <c r="G268" s="11" t="str">
        <f aca="false">IF(C268="","",IFERROR(INDEX(Catálogo!$B$5:$B$2000,MATCH(C268,Catálogo!$A$5:$A$2000,0)),""))</f>
        <v/>
      </c>
      <c r="H268" s="11" t="str">
        <f aca="false">IF(C268="","",IFERROR(INDEX(Catálogo!$C$5:$C$2000,MATCH(C268,Catálogo!$A$5:$A$2000,0)),""))</f>
        <v/>
      </c>
      <c r="I268" s="11" t="str">
        <f aca="false">IF(D268="","",IF(D268&gt;UmbralAlarma,"Alarmante",IF(D268&gt;=UmbralRegular,"Regular","Bueno")))</f>
        <v/>
      </c>
      <c r="J268" s="11" t="str">
        <f aca="true">IF(COUNTA(A268:F268)=0,"",IF(OR(A268="",B268="",C268="",D268=""),"Faltan datos",IF(G268="","AP no está en el catálogo",IF(A268&gt;TODAY()+1,"Fecha futura",IF(OR(D268&lt;0,D268&lt;&gt;INT(D268)),"Usuarios no válidos",IF(AND(E268&lt;&gt;"",OR(E268&lt;0,E268&gt;1)),"Utilización fuera de 0-100%",IF(COUNTIFS($A$5:$A$604,A268,$B$5:$B$604,B268,$C$5:$C$604,C268)&gt;1,"Fila duplicada","OK")))))))</f>
        <v/>
      </c>
      <c r="K268" s="9"/>
    </row>
    <row r="269" customFormat="false" ht="15" hidden="false" customHeight="false" outlineLevel="0" collapsed="false">
      <c r="A269" s="7"/>
      <c r="B269" s="8"/>
      <c r="C269" s="9"/>
      <c r="D269" s="20"/>
      <c r="E269" s="10"/>
      <c r="F269" s="9"/>
      <c r="G269" s="11" t="str">
        <f aca="false">IF(C269="","",IFERROR(INDEX(Catálogo!$B$5:$B$2000,MATCH(C269,Catálogo!$A$5:$A$2000,0)),""))</f>
        <v/>
      </c>
      <c r="H269" s="11" t="str">
        <f aca="false">IF(C269="","",IFERROR(INDEX(Catálogo!$C$5:$C$2000,MATCH(C269,Catálogo!$A$5:$A$2000,0)),""))</f>
        <v/>
      </c>
      <c r="I269" s="11" t="str">
        <f aca="false">IF(D269="","",IF(D269&gt;UmbralAlarma,"Alarmante",IF(D269&gt;=UmbralRegular,"Regular","Bueno")))</f>
        <v/>
      </c>
      <c r="J269" s="11" t="str">
        <f aca="true">IF(COUNTA(A269:F269)=0,"",IF(OR(A269="",B269="",C269="",D269=""),"Faltan datos",IF(G269="","AP no está en el catálogo",IF(A269&gt;TODAY()+1,"Fecha futura",IF(OR(D269&lt;0,D269&lt;&gt;INT(D269)),"Usuarios no válidos",IF(AND(E269&lt;&gt;"",OR(E269&lt;0,E269&gt;1)),"Utilización fuera de 0-100%",IF(COUNTIFS($A$5:$A$604,A269,$B$5:$B$604,B269,$C$5:$C$604,C269)&gt;1,"Fila duplicada","OK")))))))</f>
        <v/>
      </c>
      <c r="K269" s="9"/>
    </row>
    <row r="270" customFormat="false" ht="15" hidden="false" customHeight="false" outlineLevel="0" collapsed="false">
      <c r="A270" s="7"/>
      <c r="B270" s="8"/>
      <c r="C270" s="9"/>
      <c r="D270" s="20"/>
      <c r="E270" s="10"/>
      <c r="F270" s="9"/>
      <c r="G270" s="11" t="str">
        <f aca="false">IF(C270="","",IFERROR(INDEX(Catálogo!$B$5:$B$2000,MATCH(C270,Catálogo!$A$5:$A$2000,0)),""))</f>
        <v/>
      </c>
      <c r="H270" s="11" t="str">
        <f aca="false">IF(C270="","",IFERROR(INDEX(Catálogo!$C$5:$C$2000,MATCH(C270,Catálogo!$A$5:$A$2000,0)),""))</f>
        <v/>
      </c>
      <c r="I270" s="11" t="str">
        <f aca="false">IF(D270="","",IF(D270&gt;UmbralAlarma,"Alarmante",IF(D270&gt;=UmbralRegular,"Regular","Bueno")))</f>
        <v/>
      </c>
      <c r="J270" s="11" t="str">
        <f aca="true">IF(COUNTA(A270:F270)=0,"",IF(OR(A270="",B270="",C270="",D270=""),"Faltan datos",IF(G270="","AP no está en el catálogo",IF(A270&gt;TODAY()+1,"Fecha futura",IF(OR(D270&lt;0,D270&lt;&gt;INT(D270)),"Usuarios no válidos",IF(AND(E270&lt;&gt;"",OR(E270&lt;0,E270&gt;1)),"Utilización fuera de 0-100%",IF(COUNTIFS($A$5:$A$604,A270,$B$5:$B$604,B270,$C$5:$C$604,C270)&gt;1,"Fila duplicada","OK")))))))</f>
        <v/>
      </c>
      <c r="K270" s="9"/>
    </row>
    <row r="271" customFormat="false" ht="15" hidden="false" customHeight="false" outlineLevel="0" collapsed="false">
      <c r="A271" s="7"/>
      <c r="B271" s="8"/>
      <c r="C271" s="9"/>
      <c r="D271" s="20"/>
      <c r="E271" s="10"/>
      <c r="F271" s="9"/>
      <c r="G271" s="11" t="str">
        <f aca="false">IF(C271="","",IFERROR(INDEX(Catálogo!$B$5:$B$2000,MATCH(C271,Catálogo!$A$5:$A$2000,0)),""))</f>
        <v/>
      </c>
      <c r="H271" s="11" t="str">
        <f aca="false">IF(C271="","",IFERROR(INDEX(Catálogo!$C$5:$C$2000,MATCH(C271,Catálogo!$A$5:$A$2000,0)),""))</f>
        <v/>
      </c>
      <c r="I271" s="11" t="str">
        <f aca="false">IF(D271="","",IF(D271&gt;UmbralAlarma,"Alarmante",IF(D271&gt;=UmbralRegular,"Regular","Bueno")))</f>
        <v/>
      </c>
      <c r="J271" s="11" t="str">
        <f aca="true">IF(COUNTA(A271:F271)=0,"",IF(OR(A271="",B271="",C271="",D271=""),"Faltan datos",IF(G271="","AP no está en el catálogo",IF(A271&gt;TODAY()+1,"Fecha futura",IF(OR(D271&lt;0,D271&lt;&gt;INT(D271)),"Usuarios no válidos",IF(AND(E271&lt;&gt;"",OR(E271&lt;0,E271&gt;1)),"Utilización fuera de 0-100%",IF(COUNTIFS($A$5:$A$604,A271,$B$5:$B$604,B271,$C$5:$C$604,C271)&gt;1,"Fila duplicada","OK")))))))</f>
        <v/>
      </c>
      <c r="K271" s="9"/>
    </row>
    <row r="272" customFormat="false" ht="15" hidden="false" customHeight="false" outlineLevel="0" collapsed="false">
      <c r="A272" s="7"/>
      <c r="B272" s="8"/>
      <c r="C272" s="9"/>
      <c r="D272" s="20"/>
      <c r="E272" s="10"/>
      <c r="F272" s="9"/>
      <c r="G272" s="11" t="str">
        <f aca="false">IF(C272="","",IFERROR(INDEX(Catálogo!$B$5:$B$2000,MATCH(C272,Catálogo!$A$5:$A$2000,0)),""))</f>
        <v/>
      </c>
      <c r="H272" s="11" t="str">
        <f aca="false">IF(C272="","",IFERROR(INDEX(Catálogo!$C$5:$C$2000,MATCH(C272,Catálogo!$A$5:$A$2000,0)),""))</f>
        <v/>
      </c>
      <c r="I272" s="11" t="str">
        <f aca="false">IF(D272="","",IF(D272&gt;UmbralAlarma,"Alarmante",IF(D272&gt;=UmbralRegular,"Regular","Bueno")))</f>
        <v/>
      </c>
      <c r="J272" s="11" t="str">
        <f aca="true">IF(COUNTA(A272:F272)=0,"",IF(OR(A272="",B272="",C272="",D272=""),"Faltan datos",IF(G272="","AP no está en el catálogo",IF(A272&gt;TODAY()+1,"Fecha futura",IF(OR(D272&lt;0,D272&lt;&gt;INT(D272)),"Usuarios no válidos",IF(AND(E272&lt;&gt;"",OR(E272&lt;0,E272&gt;1)),"Utilización fuera de 0-100%",IF(COUNTIFS($A$5:$A$604,A272,$B$5:$B$604,B272,$C$5:$C$604,C272)&gt;1,"Fila duplicada","OK")))))))</f>
        <v/>
      </c>
      <c r="K272" s="9"/>
    </row>
    <row r="273" customFormat="false" ht="15" hidden="false" customHeight="false" outlineLevel="0" collapsed="false">
      <c r="A273" s="7"/>
      <c r="B273" s="8"/>
      <c r="C273" s="9"/>
      <c r="D273" s="20"/>
      <c r="E273" s="10"/>
      <c r="F273" s="9"/>
      <c r="G273" s="11" t="str">
        <f aca="false">IF(C273="","",IFERROR(INDEX(Catálogo!$B$5:$B$2000,MATCH(C273,Catálogo!$A$5:$A$2000,0)),""))</f>
        <v/>
      </c>
      <c r="H273" s="11" t="str">
        <f aca="false">IF(C273="","",IFERROR(INDEX(Catálogo!$C$5:$C$2000,MATCH(C273,Catálogo!$A$5:$A$2000,0)),""))</f>
        <v/>
      </c>
      <c r="I273" s="11" t="str">
        <f aca="false">IF(D273="","",IF(D273&gt;UmbralAlarma,"Alarmante",IF(D273&gt;=UmbralRegular,"Regular","Bueno")))</f>
        <v/>
      </c>
      <c r="J273" s="11" t="str">
        <f aca="true">IF(COUNTA(A273:F273)=0,"",IF(OR(A273="",B273="",C273="",D273=""),"Faltan datos",IF(G273="","AP no está en el catálogo",IF(A273&gt;TODAY()+1,"Fecha futura",IF(OR(D273&lt;0,D273&lt;&gt;INT(D273)),"Usuarios no válidos",IF(AND(E273&lt;&gt;"",OR(E273&lt;0,E273&gt;1)),"Utilización fuera de 0-100%",IF(COUNTIFS($A$5:$A$604,A273,$B$5:$B$604,B273,$C$5:$C$604,C273)&gt;1,"Fila duplicada","OK")))))))</f>
        <v/>
      </c>
      <c r="K273" s="9"/>
    </row>
    <row r="274" customFormat="false" ht="15" hidden="false" customHeight="false" outlineLevel="0" collapsed="false">
      <c r="A274" s="7"/>
      <c r="B274" s="8"/>
      <c r="C274" s="9"/>
      <c r="D274" s="20"/>
      <c r="E274" s="10"/>
      <c r="F274" s="9"/>
      <c r="G274" s="11" t="str">
        <f aca="false">IF(C274="","",IFERROR(INDEX(Catálogo!$B$5:$B$2000,MATCH(C274,Catálogo!$A$5:$A$2000,0)),""))</f>
        <v/>
      </c>
      <c r="H274" s="11" t="str">
        <f aca="false">IF(C274="","",IFERROR(INDEX(Catálogo!$C$5:$C$2000,MATCH(C274,Catálogo!$A$5:$A$2000,0)),""))</f>
        <v/>
      </c>
      <c r="I274" s="11" t="str">
        <f aca="false">IF(D274="","",IF(D274&gt;UmbralAlarma,"Alarmante",IF(D274&gt;=UmbralRegular,"Regular","Bueno")))</f>
        <v/>
      </c>
      <c r="J274" s="11" t="str">
        <f aca="true">IF(COUNTA(A274:F274)=0,"",IF(OR(A274="",B274="",C274="",D274=""),"Faltan datos",IF(G274="","AP no está en el catálogo",IF(A274&gt;TODAY()+1,"Fecha futura",IF(OR(D274&lt;0,D274&lt;&gt;INT(D274)),"Usuarios no válidos",IF(AND(E274&lt;&gt;"",OR(E274&lt;0,E274&gt;1)),"Utilización fuera de 0-100%",IF(COUNTIFS($A$5:$A$604,A274,$B$5:$B$604,B274,$C$5:$C$604,C274)&gt;1,"Fila duplicada","OK")))))))</f>
        <v/>
      </c>
      <c r="K274" s="9"/>
    </row>
    <row r="275" customFormat="false" ht="15" hidden="false" customHeight="false" outlineLevel="0" collapsed="false">
      <c r="A275" s="7"/>
      <c r="B275" s="8"/>
      <c r="C275" s="9"/>
      <c r="D275" s="20"/>
      <c r="E275" s="10"/>
      <c r="F275" s="9"/>
      <c r="G275" s="11" t="str">
        <f aca="false">IF(C275="","",IFERROR(INDEX(Catálogo!$B$5:$B$2000,MATCH(C275,Catálogo!$A$5:$A$2000,0)),""))</f>
        <v/>
      </c>
      <c r="H275" s="11" t="str">
        <f aca="false">IF(C275="","",IFERROR(INDEX(Catálogo!$C$5:$C$2000,MATCH(C275,Catálogo!$A$5:$A$2000,0)),""))</f>
        <v/>
      </c>
      <c r="I275" s="11" t="str">
        <f aca="false">IF(D275="","",IF(D275&gt;UmbralAlarma,"Alarmante",IF(D275&gt;=UmbralRegular,"Regular","Bueno")))</f>
        <v/>
      </c>
      <c r="J275" s="11" t="str">
        <f aca="true">IF(COUNTA(A275:F275)=0,"",IF(OR(A275="",B275="",C275="",D275=""),"Faltan datos",IF(G275="","AP no está en el catálogo",IF(A275&gt;TODAY()+1,"Fecha futura",IF(OR(D275&lt;0,D275&lt;&gt;INT(D275)),"Usuarios no válidos",IF(AND(E275&lt;&gt;"",OR(E275&lt;0,E275&gt;1)),"Utilización fuera de 0-100%",IF(COUNTIFS($A$5:$A$604,A275,$B$5:$B$604,B275,$C$5:$C$604,C275)&gt;1,"Fila duplicada","OK")))))))</f>
        <v/>
      </c>
      <c r="K275" s="9"/>
    </row>
    <row r="276" customFormat="false" ht="15" hidden="false" customHeight="false" outlineLevel="0" collapsed="false">
      <c r="A276" s="7"/>
      <c r="B276" s="8"/>
      <c r="C276" s="9"/>
      <c r="D276" s="20"/>
      <c r="E276" s="10"/>
      <c r="F276" s="9"/>
      <c r="G276" s="11" t="str">
        <f aca="false">IF(C276="","",IFERROR(INDEX(Catálogo!$B$5:$B$2000,MATCH(C276,Catálogo!$A$5:$A$2000,0)),""))</f>
        <v/>
      </c>
      <c r="H276" s="11" t="str">
        <f aca="false">IF(C276="","",IFERROR(INDEX(Catálogo!$C$5:$C$2000,MATCH(C276,Catálogo!$A$5:$A$2000,0)),""))</f>
        <v/>
      </c>
      <c r="I276" s="11" t="str">
        <f aca="false">IF(D276="","",IF(D276&gt;UmbralAlarma,"Alarmante",IF(D276&gt;=UmbralRegular,"Regular","Bueno")))</f>
        <v/>
      </c>
      <c r="J276" s="11" t="str">
        <f aca="true">IF(COUNTA(A276:F276)=0,"",IF(OR(A276="",B276="",C276="",D276=""),"Faltan datos",IF(G276="","AP no está en el catálogo",IF(A276&gt;TODAY()+1,"Fecha futura",IF(OR(D276&lt;0,D276&lt;&gt;INT(D276)),"Usuarios no válidos",IF(AND(E276&lt;&gt;"",OR(E276&lt;0,E276&gt;1)),"Utilización fuera de 0-100%",IF(COUNTIFS($A$5:$A$604,A276,$B$5:$B$604,B276,$C$5:$C$604,C276)&gt;1,"Fila duplicada","OK")))))))</f>
        <v/>
      </c>
      <c r="K276" s="9"/>
    </row>
    <row r="277" customFormat="false" ht="15" hidden="false" customHeight="false" outlineLevel="0" collapsed="false">
      <c r="A277" s="7"/>
      <c r="B277" s="8"/>
      <c r="C277" s="9"/>
      <c r="D277" s="20"/>
      <c r="E277" s="10"/>
      <c r="F277" s="9"/>
      <c r="G277" s="11" t="str">
        <f aca="false">IF(C277="","",IFERROR(INDEX(Catálogo!$B$5:$B$2000,MATCH(C277,Catálogo!$A$5:$A$2000,0)),""))</f>
        <v/>
      </c>
      <c r="H277" s="11" t="str">
        <f aca="false">IF(C277="","",IFERROR(INDEX(Catálogo!$C$5:$C$2000,MATCH(C277,Catálogo!$A$5:$A$2000,0)),""))</f>
        <v/>
      </c>
      <c r="I277" s="11" t="str">
        <f aca="false">IF(D277="","",IF(D277&gt;UmbralAlarma,"Alarmante",IF(D277&gt;=UmbralRegular,"Regular","Bueno")))</f>
        <v/>
      </c>
      <c r="J277" s="11" t="str">
        <f aca="true">IF(COUNTA(A277:F277)=0,"",IF(OR(A277="",B277="",C277="",D277=""),"Faltan datos",IF(G277="","AP no está en el catálogo",IF(A277&gt;TODAY()+1,"Fecha futura",IF(OR(D277&lt;0,D277&lt;&gt;INT(D277)),"Usuarios no válidos",IF(AND(E277&lt;&gt;"",OR(E277&lt;0,E277&gt;1)),"Utilización fuera de 0-100%",IF(COUNTIFS($A$5:$A$604,A277,$B$5:$B$604,B277,$C$5:$C$604,C277)&gt;1,"Fila duplicada","OK")))))))</f>
        <v/>
      </c>
      <c r="K277" s="9"/>
    </row>
    <row r="278" customFormat="false" ht="15" hidden="false" customHeight="false" outlineLevel="0" collapsed="false">
      <c r="A278" s="7"/>
      <c r="B278" s="8"/>
      <c r="C278" s="9"/>
      <c r="D278" s="20"/>
      <c r="E278" s="10"/>
      <c r="F278" s="9"/>
      <c r="G278" s="11" t="str">
        <f aca="false">IF(C278="","",IFERROR(INDEX(Catálogo!$B$5:$B$2000,MATCH(C278,Catálogo!$A$5:$A$2000,0)),""))</f>
        <v/>
      </c>
      <c r="H278" s="11" t="str">
        <f aca="false">IF(C278="","",IFERROR(INDEX(Catálogo!$C$5:$C$2000,MATCH(C278,Catálogo!$A$5:$A$2000,0)),""))</f>
        <v/>
      </c>
      <c r="I278" s="11" t="str">
        <f aca="false">IF(D278="","",IF(D278&gt;UmbralAlarma,"Alarmante",IF(D278&gt;=UmbralRegular,"Regular","Bueno")))</f>
        <v/>
      </c>
      <c r="J278" s="11" t="str">
        <f aca="true">IF(COUNTA(A278:F278)=0,"",IF(OR(A278="",B278="",C278="",D278=""),"Faltan datos",IF(G278="","AP no está en el catálogo",IF(A278&gt;TODAY()+1,"Fecha futura",IF(OR(D278&lt;0,D278&lt;&gt;INT(D278)),"Usuarios no válidos",IF(AND(E278&lt;&gt;"",OR(E278&lt;0,E278&gt;1)),"Utilización fuera de 0-100%",IF(COUNTIFS($A$5:$A$604,A278,$B$5:$B$604,B278,$C$5:$C$604,C278)&gt;1,"Fila duplicada","OK")))))))</f>
        <v/>
      </c>
      <c r="K278" s="9"/>
    </row>
    <row r="279" customFormat="false" ht="15" hidden="false" customHeight="false" outlineLevel="0" collapsed="false">
      <c r="A279" s="7"/>
      <c r="B279" s="8"/>
      <c r="C279" s="9"/>
      <c r="D279" s="20"/>
      <c r="E279" s="10"/>
      <c r="F279" s="9"/>
      <c r="G279" s="11" t="str">
        <f aca="false">IF(C279="","",IFERROR(INDEX(Catálogo!$B$5:$B$2000,MATCH(C279,Catálogo!$A$5:$A$2000,0)),""))</f>
        <v/>
      </c>
      <c r="H279" s="11" t="str">
        <f aca="false">IF(C279="","",IFERROR(INDEX(Catálogo!$C$5:$C$2000,MATCH(C279,Catálogo!$A$5:$A$2000,0)),""))</f>
        <v/>
      </c>
      <c r="I279" s="11" t="str">
        <f aca="false">IF(D279="","",IF(D279&gt;UmbralAlarma,"Alarmante",IF(D279&gt;=UmbralRegular,"Regular","Bueno")))</f>
        <v/>
      </c>
      <c r="J279" s="11" t="str">
        <f aca="true">IF(COUNTA(A279:F279)=0,"",IF(OR(A279="",B279="",C279="",D279=""),"Faltan datos",IF(G279="","AP no está en el catálogo",IF(A279&gt;TODAY()+1,"Fecha futura",IF(OR(D279&lt;0,D279&lt;&gt;INT(D279)),"Usuarios no válidos",IF(AND(E279&lt;&gt;"",OR(E279&lt;0,E279&gt;1)),"Utilización fuera de 0-100%",IF(COUNTIFS($A$5:$A$604,A279,$B$5:$B$604,B279,$C$5:$C$604,C279)&gt;1,"Fila duplicada","OK")))))))</f>
        <v/>
      </c>
      <c r="K279" s="9"/>
    </row>
    <row r="280" customFormat="false" ht="15" hidden="false" customHeight="false" outlineLevel="0" collapsed="false">
      <c r="A280" s="7"/>
      <c r="B280" s="8"/>
      <c r="C280" s="9"/>
      <c r="D280" s="20"/>
      <c r="E280" s="10"/>
      <c r="F280" s="9"/>
      <c r="G280" s="11" t="str">
        <f aca="false">IF(C280="","",IFERROR(INDEX(Catálogo!$B$5:$B$2000,MATCH(C280,Catálogo!$A$5:$A$2000,0)),""))</f>
        <v/>
      </c>
      <c r="H280" s="11" t="str">
        <f aca="false">IF(C280="","",IFERROR(INDEX(Catálogo!$C$5:$C$2000,MATCH(C280,Catálogo!$A$5:$A$2000,0)),""))</f>
        <v/>
      </c>
      <c r="I280" s="11" t="str">
        <f aca="false">IF(D280="","",IF(D280&gt;UmbralAlarma,"Alarmante",IF(D280&gt;=UmbralRegular,"Regular","Bueno")))</f>
        <v/>
      </c>
      <c r="J280" s="11" t="str">
        <f aca="true">IF(COUNTA(A280:F280)=0,"",IF(OR(A280="",B280="",C280="",D280=""),"Faltan datos",IF(G280="","AP no está en el catálogo",IF(A280&gt;TODAY()+1,"Fecha futura",IF(OR(D280&lt;0,D280&lt;&gt;INT(D280)),"Usuarios no válidos",IF(AND(E280&lt;&gt;"",OR(E280&lt;0,E280&gt;1)),"Utilización fuera de 0-100%",IF(COUNTIFS($A$5:$A$604,A280,$B$5:$B$604,B280,$C$5:$C$604,C280)&gt;1,"Fila duplicada","OK")))))))</f>
        <v/>
      </c>
      <c r="K280" s="9"/>
    </row>
    <row r="281" customFormat="false" ht="15" hidden="false" customHeight="false" outlineLevel="0" collapsed="false">
      <c r="A281" s="7"/>
      <c r="B281" s="8"/>
      <c r="C281" s="9"/>
      <c r="D281" s="20"/>
      <c r="E281" s="10"/>
      <c r="F281" s="9"/>
      <c r="G281" s="11" t="str">
        <f aca="false">IF(C281="","",IFERROR(INDEX(Catálogo!$B$5:$B$2000,MATCH(C281,Catálogo!$A$5:$A$2000,0)),""))</f>
        <v/>
      </c>
      <c r="H281" s="11" t="str">
        <f aca="false">IF(C281="","",IFERROR(INDEX(Catálogo!$C$5:$C$2000,MATCH(C281,Catálogo!$A$5:$A$2000,0)),""))</f>
        <v/>
      </c>
      <c r="I281" s="11" t="str">
        <f aca="false">IF(D281="","",IF(D281&gt;UmbralAlarma,"Alarmante",IF(D281&gt;=UmbralRegular,"Regular","Bueno")))</f>
        <v/>
      </c>
      <c r="J281" s="11" t="str">
        <f aca="true">IF(COUNTA(A281:F281)=0,"",IF(OR(A281="",B281="",C281="",D281=""),"Faltan datos",IF(G281="","AP no está en el catálogo",IF(A281&gt;TODAY()+1,"Fecha futura",IF(OR(D281&lt;0,D281&lt;&gt;INT(D281)),"Usuarios no válidos",IF(AND(E281&lt;&gt;"",OR(E281&lt;0,E281&gt;1)),"Utilización fuera de 0-100%",IF(COUNTIFS($A$5:$A$604,A281,$B$5:$B$604,B281,$C$5:$C$604,C281)&gt;1,"Fila duplicada","OK")))))))</f>
        <v/>
      </c>
      <c r="K281" s="9"/>
    </row>
    <row r="282" customFormat="false" ht="15" hidden="false" customHeight="false" outlineLevel="0" collapsed="false">
      <c r="A282" s="7"/>
      <c r="B282" s="8"/>
      <c r="C282" s="9"/>
      <c r="D282" s="20"/>
      <c r="E282" s="10"/>
      <c r="F282" s="9"/>
      <c r="G282" s="11" t="str">
        <f aca="false">IF(C282="","",IFERROR(INDEX(Catálogo!$B$5:$B$2000,MATCH(C282,Catálogo!$A$5:$A$2000,0)),""))</f>
        <v/>
      </c>
      <c r="H282" s="11" t="str">
        <f aca="false">IF(C282="","",IFERROR(INDEX(Catálogo!$C$5:$C$2000,MATCH(C282,Catálogo!$A$5:$A$2000,0)),""))</f>
        <v/>
      </c>
      <c r="I282" s="11" t="str">
        <f aca="false">IF(D282="","",IF(D282&gt;UmbralAlarma,"Alarmante",IF(D282&gt;=UmbralRegular,"Regular","Bueno")))</f>
        <v/>
      </c>
      <c r="J282" s="11" t="str">
        <f aca="true">IF(COUNTA(A282:F282)=0,"",IF(OR(A282="",B282="",C282="",D282=""),"Faltan datos",IF(G282="","AP no está en el catálogo",IF(A282&gt;TODAY()+1,"Fecha futura",IF(OR(D282&lt;0,D282&lt;&gt;INT(D282)),"Usuarios no válidos",IF(AND(E282&lt;&gt;"",OR(E282&lt;0,E282&gt;1)),"Utilización fuera de 0-100%",IF(COUNTIFS($A$5:$A$604,A282,$B$5:$B$604,B282,$C$5:$C$604,C282)&gt;1,"Fila duplicada","OK")))))))</f>
        <v/>
      </c>
      <c r="K282" s="9"/>
    </row>
    <row r="283" customFormat="false" ht="15" hidden="false" customHeight="false" outlineLevel="0" collapsed="false">
      <c r="A283" s="7"/>
      <c r="B283" s="8"/>
      <c r="C283" s="9"/>
      <c r="D283" s="20"/>
      <c r="E283" s="10"/>
      <c r="F283" s="9"/>
      <c r="G283" s="11" t="str">
        <f aca="false">IF(C283="","",IFERROR(INDEX(Catálogo!$B$5:$B$2000,MATCH(C283,Catálogo!$A$5:$A$2000,0)),""))</f>
        <v/>
      </c>
      <c r="H283" s="11" t="str">
        <f aca="false">IF(C283="","",IFERROR(INDEX(Catálogo!$C$5:$C$2000,MATCH(C283,Catálogo!$A$5:$A$2000,0)),""))</f>
        <v/>
      </c>
      <c r="I283" s="11" t="str">
        <f aca="false">IF(D283="","",IF(D283&gt;UmbralAlarma,"Alarmante",IF(D283&gt;=UmbralRegular,"Regular","Bueno")))</f>
        <v/>
      </c>
      <c r="J283" s="11" t="str">
        <f aca="true">IF(COUNTA(A283:F283)=0,"",IF(OR(A283="",B283="",C283="",D283=""),"Faltan datos",IF(G283="","AP no está en el catálogo",IF(A283&gt;TODAY()+1,"Fecha futura",IF(OR(D283&lt;0,D283&lt;&gt;INT(D283)),"Usuarios no válidos",IF(AND(E283&lt;&gt;"",OR(E283&lt;0,E283&gt;1)),"Utilización fuera de 0-100%",IF(COUNTIFS($A$5:$A$604,A283,$B$5:$B$604,B283,$C$5:$C$604,C283)&gt;1,"Fila duplicada","OK")))))))</f>
        <v/>
      </c>
      <c r="K283" s="9"/>
    </row>
    <row r="284" customFormat="false" ht="15" hidden="false" customHeight="false" outlineLevel="0" collapsed="false">
      <c r="A284" s="7"/>
      <c r="B284" s="8"/>
      <c r="C284" s="9"/>
      <c r="D284" s="20"/>
      <c r="E284" s="10"/>
      <c r="F284" s="9"/>
      <c r="G284" s="11" t="str">
        <f aca="false">IF(C284="","",IFERROR(INDEX(Catálogo!$B$5:$B$2000,MATCH(C284,Catálogo!$A$5:$A$2000,0)),""))</f>
        <v/>
      </c>
      <c r="H284" s="11" t="str">
        <f aca="false">IF(C284="","",IFERROR(INDEX(Catálogo!$C$5:$C$2000,MATCH(C284,Catálogo!$A$5:$A$2000,0)),""))</f>
        <v/>
      </c>
      <c r="I284" s="11" t="str">
        <f aca="false">IF(D284="","",IF(D284&gt;UmbralAlarma,"Alarmante",IF(D284&gt;=UmbralRegular,"Regular","Bueno")))</f>
        <v/>
      </c>
      <c r="J284" s="11" t="str">
        <f aca="true">IF(COUNTA(A284:F284)=0,"",IF(OR(A284="",B284="",C284="",D284=""),"Faltan datos",IF(G284="","AP no está en el catálogo",IF(A284&gt;TODAY()+1,"Fecha futura",IF(OR(D284&lt;0,D284&lt;&gt;INT(D284)),"Usuarios no válidos",IF(AND(E284&lt;&gt;"",OR(E284&lt;0,E284&gt;1)),"Utilización fuera de 0-100%",IF(COUNTIFS($A$5:$A$604,A284,$B$5:$B$604,B284,$C$5:$C$604,C284)&gt;1,"Fila duplicada","OK")))))))</f>
        <v/>
      </c>
      <c r="K284" s="9"/>
    </row>
    <row r="285" customFormat="false" ht="15" hidden="false" customHeight="false" outlineLevel="0" collapsed="false">
      <c r="A285" s="7"/>
      <c r="B285" s="8"/>
      <c r="C285" s="9"/>
      <c r="D285" s="20"/>
      <c r="E285" s="10"/>
      <c r="F285" s="9"/>
      <c r="G285" s="11" t="str">
        <f aca="false">IF(C285="","",IFERROR(INDEX(Catálogo!$B$5:$B$2000,MATCH(C285,Catálogo!$A$5:$A$2000,0)),""))</f>
        <v/>
      </c>
      <c r="H285" s="11" t="str">
        <f aca="false">IF(C285="","",IFERROR(INDEX(Catálogo!$C$5:$C$2000,MATCH(C285,Catálogo!$A$5:$A$2000,0)),""))</f>
        <v/>
      </c>
      <c r="I285" s="11" t="str">
        <f aca="false">IF(D285="","",IF(D285&gt;UmbralAlarma,"Alarmante",IF(D285&gt;=UmbralRegular,"Regular","Bueno")))</f>
        <v/>
      </c>
      <c r="J285" s="11" t="str">
        <f aca="true">IF(COUNTA(A285:F285)=0,"",IF(OR(A285="",B285="",C285="",D285=""),"Faltan datos",IF(G285="","AP no está en el catálogo",IF(A285&gt;TODAY()+1,"Fecha futura",IF(OR(D285&lt;0,D285&lt;&gt;INT(D285)),"Usuarios no válidos",IF(AND(E285&lt;&gt;"",OR(E285&lt;0,E285&gt;1)),"Utilización fuera de 0-100%",IF(COUNTIFS($A$5:$A$604,A285,$B$5:$B$604,B285,$C$5:$C$604,C285)&gt;1,"Fila duplicada","OK")))))))</f>
        <v/>
      </c>
      <c r="K285" s="9"/>
    </row>
    <row r="286" customFormat="false" ht="15" hidden="false" customHeight="false" outlineLevel="0" collapsed="false">
      <c r="A286" s="7"/>
      <c r="B286" s="8"/>
      <c r="C286" s="9"/>
      <c r="D286" s="20"/>
      <c r="E286" s="10"/>
      <c r="F286" s="9"/>
      <c r="G286" s="11" t="str">
        <f aca="false">IF(C286="","",IFERROR(INDEX(Catálogo!$B$5:$B$2000,MATCH(C286,Catálogo!$A$5:$A$2000,0)),""))</f>
        <v/>
      </c>
      <c r="H286" s="11" t="str">
        <f aca="false">IF(C286="","",IFERROR(INDEX(Catálogo!$C$5:$C$2000,MATCH(C286,Catálogo!$A$5:$A$2000,0)),""))</f>
        <v/>
      </c>
      <c r="I286" s="11" t="str">
        <f aca="false">IF(D286="","",IF(D286&gt;UmbralAlarma,"Alarmante",IF(D286&gt;=UmbralRegular,"Regular","Bueno")))</f>
        <v/>
      </c>
      <c r="J286" s="11" t="str">
        <f aca="true">IF(COUNTA(A286:F286)=0,"",IF(OR(A286="",B286="",C286="",D286=""),"Faltan datos",IF(G286="","AP no está en el catálogo",IF(A286&gt;TODAY()+1,"Fecha futura",IF(OR(D286&lt;0,D286&lt;&gt;INT(D286)),"Usuarios no válidos",IF(AND(E286&lt;&gt;"",OR(E286&lt;0,E286&gt;1)),"Utilización fuera de 0-100%",IF(COUNTIFS($A$5:$A$604,A286,$B$5:$B$604,B286,$C$5:$C$604,C286)&gt;1,"Fila duplicada","OK")))))))</f>
        <v/>
      </c>
      <c r="K286" s="9"/>
    </row>
    <row r="287" customFormat="false" ht="15" hidden="false" customHeight="false" outlineLevel="0" collapsed="false">
      <c r="A287" s="7"/>
      <c r="B287" s="8"/>
      <c r="C287" s="9"/>
      <c r="D287" s="20"/>
      <c r="E287" s="10"/>
      <c r="F287" s="9"/>
      <c r="G287" s="11" t="str">
        <f aca="false">IF(C287="","",IFERROR(INDEX(Catálogo!$B$5:$B$2000,MATCH(C287,Catálogo!$A$5:$A$2000,0)),""))</f>
        <v/>
      </c>
      <c r="H287" s="11" t="str">
        <f aca="false">IF(C287="","",IFERROR(INDEX(Catálogo!$C$5:$C$2000,MATCH(C287,Catálogo!$A$5:$A$2000,0)),""))</f>
        <v/>
      </c>
      <c r="I287" s="11" t="str">
        <f aca="false">IF(D287="","",IF(D287&gt;UmbralAlarma,"Alarmante",IF(D287&gt;=UmbralRegular,"Regular","Bueno")))</f>
        <v/>
      </c>
      <c r="J287" s="11" t="str">
        <f aca="true">IF(COUNTA(A287:F287)=0,"",IF(OR(A287="",B287="",C287="",D287=""),"Faltan datos",IF(G287="","AP no está en el catálogo",IF(A287&gt;TODAY()+1,"Fecha futura",IF(OR(D287&lt;0,D287&lt;&gt;INT(D287)),"Usuarios no válidos",IF(AND(E287&lt;&gt;"",OR(E287&lt;0,E287&gt;1)),"Utilización fuera de 0-100%",IF(COUNTIFS($A$5:$A$604,A287,$B$5:$B$604,B287,$C$5:$C$604,C287)&gt;1,"Fila duplicada","OK")))))))</f>
        <v/>
      </c>
      <c r="K287" s="9"/>
    </row>
    <row r="288" customFormat="false" ht="15" hidden="false" customHeight="false" outlineLevel="0" collapsed="false">
      <c r="A288" s="7"/>
      <c r="B288" s="8"/>
      <c r="C288" s="9"/>
      <c r="D288" s="20"/>
      <c r="E288" s="10"/>
      <c r="F288" s="9"/>
      <c r="G288" s="11" t="str">
        <f aca="false">IF(C288="","",IFERROR(INDEX(Catálogo!$B$5:$B$2000,MATCH(C288,Catálogo!$A$5:$A$2000,0)),""))</f>
        <v/>
      </c>
      <c r="H288" s="11" t="str">
        <f aca="false">IF(C288="","",IFERROR(INDEX(Catálogo!$C$5:$C$2000,MATCH(C288,Catálogo!$A$5:$A$2000,0)),""))</f>
        <v/>
      </c>
      <c r="I288" s="11" t="str">
        <f aca="false">IF(D288="","",IF(D288&gt;UmbralAlarma,"Alarmante",IF(D288&gt;=UmbralRegular,"Regular","Bueno")))</f>
        <v/>
      </c>
      <c r="J288" s="11" t="str">
        <f aca="true">IF(COUNTA(A288:F288)=0,"",IF(OR(A288="",B288="",C288="",D288=""),"Faltan datos",IF(G288="","AP no está en el catálogo",IF(A288&gt;TODAY()+1,"Fecha futura",IF(OR(D288&lt;0,D288&lt;&gt;INT(D288)),"Usuarios no válidos",IF(AND(E288&lt;&gt;"",OR(E288&lt;0,E288&gt;1)),"Utilización fuera de 0-100%",IF(COUNTIFS($A$5:$A$604,A288,$B$5:$B$604,B288,$C$5:$C$604,C288)&gt;1,"Fila duplicada","OK")))))))</f>
        <v/>
      </c>
      <c r="K288" s="9"/>
    </row>
    <row r="289" customFormat="false" ht="15" hidden="false" customHeight="false" outlineLevel="0" collapsed="false">
      <c r="A289" s="7"/>
      <c r="B289" s="8"/>
      <c r="C289" s="9"/>
      <c r="D289" s="20"/>
      <c r="E289" s="10"/>
      <c r="F289" s="9"/>
      <c r="G289" s="11" t="str">
        <f aca="false">IF(C289="","",IFERROR(INDEX(Catálogo!$B$5:$B$2000,MATCH(C289,Catálogo!$A$5:$A$2000,0)),""))</f>
        <v/>
      </c>
      <c r="H289" s="11" t="str">
        <f aca="false">IF(C289="","",IFERROR(INDEX(Catálogo!$C$5:$C$2000,MATCH(C289,Catálogo!$A$5:$A$2000,0)),""))</f>
        <v/>
      </c>
      <c r="I289" s="11" t="str">
        <f aca="false">IF(D289="","",IF(D289&gt;UmbralAlarma,"Alarmante",IF(D289&gt;=UmbralRegular,"Regular","Bueno")))</f>
        <v/>
      </c>
      <c r="J289" s="11" t="str">
        <f aca="true">IF(COUNTA(A289:F289)=0,"",IF(OR(A289="",B289="",C289="",D289=""),"Faltan datos",IF(G289="","AP no está en el catálogo",IF(A289&gt;TODAY()+1,"Fecha futura",IF(OR(D289&lt;0,D289&lt;&gt;INT(D289)),"Usuarios no válidos",IF(AND(E289&lt;&gt;"",OR(E289&lt;0,E289&gt;1)),"Utilización fuera de 0-100%",IF(COUNTIFS($A$5:$A$604,A289,$B$5:$B$604,B289,$C$5:$C$604,C289)&gt;1,"Fila duplicada","OK")))))))</f>
        <v/>
      </c>
      <c r="K289" s="9"/>
    </row>
    <row r="290" customFormat="false" ht="15" hidden="false" customHeight="false" outlineLevel="0" collapsed="false">
      <c r="A290" s="7"/>
      <c r="B290" s="8"/>
      <c r="C290" s="9"/>
      <c r="D290" s="20"/>
      <c r="E290" s="10"/>
      <c r="F290" s="9"/>
      <c r="G290" s="11" t="str">
        <f aca="false">IF(C290="","",IFERROR(INDEX(Catálogo!$B$5:$B$2000,MATCH(C290,Catálogo!$A$5:$A$2000,0)),""))</f>
        <v/>
      </c>
      <c r="H290" s="11" t="str">
        <f aca="false">IF(C290="","",IFERROR(INDEX(Catálogo!$C$5:$C$2000,MATCH(C290,Catálogo!$A$5:$A$2000,0)),""))</f>
        <v/>
      </c>
      <c r="I290" s="11" t="str">
        <f aca="false">IF(D290="","",IF(D290&gt;UmbralAlarma,"Alarmante",IF(D290&gt;=UmbralRegular,"Regular","Bueno")))</f>
        <v/>
      </c>
      <c r="J290" s="11" t="str">
        <f aca="true">IF(COUNTA(A290:F290)=0,"",IF(OR(A290="",B290="",C290="",D290=""),"Faltan datos",IF(G290="","AP no está en el catálogo",IF(A290&gt;TODAY()+1,"Fecha futura",IF(OR(D290&lt;0,D290&lt;&gt;INT(D290)),"Usuarios no válidos",IF(AND(E290&lt;&gt;"",OR(E290&lt;0,E290&gt;1)),"Utilización fuera de 0-100%",IF(COUNTIFS($A$5:$A$604,A290,$B$5:$B$604,B290,$C$5:$C$604,C290)&gt;1,"Fila duplicada","OK")))))))</f>
        <v/>
      </c>
      <c r="K290" s="9"/>
    </row>
    <row r="291" customFormat="false" ht="15" hidden="false" customHeight="false" outlineLevel="0" collapsed="false">
      <c r="A291" s="7"/>
      <c r="B291" s="8"/>
      <c r="C291" s="9"/>
      <c r="D291" s="20"/>
      <c r="E291" s="10"/>
      <c r="F291" s="9"/>
      <c r="G291" s="11" t="str">
        <f aca="false">IF(C291="","",IFERROR(INDEX(Catálogo!$B$5:$B$2000,MATCH(C291,Catálogo!$A$5:$A$2000,0)),""))</f>
        <v/>
      </c>
      <c r="H291" s="11" t="str">
        <f aca="false">IF(C291="","",IFERROR(INDEX(Catálogo!$C$5:$C$2000,MATCH(C291,Catálogo!$A$5:$A$2000,0)),""))</f>
        <v/>
      </c>
      <c r="I291" s="11" t="str">
        <f aca="false">IF(D291="","",IF(D291&gt;UmbralAlarma,"Alarmante",IF(D291&gt;=UmbralRegular,"Regular","Bueno")))</f>
        <v/>
      </c>
      <c r="J291" s="11" t="str">
        <f aca="true">IF(COUNTA(A291:F291)=0,"",IF(OR(A291="",B291="",C291="",D291=""),"Faltan datos",IF(G291="","AP no está en el catálogo",IF(A291&gt;TODAY()+1,"Fecha futura",IF(OR(D291&lt;0,D291&lt;&gt;INT(D291)),"Usuarios no válidos",IF(AND(E291&lt;&gt;"",OR(E291&lt;0,E291&gt;1)),"Utilización fuera de 0-100%",IF(COUNTIFS($A$5:$A$604,A291,$B$5:$B$604,B291,$C$5:$C$604,C291)&gt;1,"Fila duplicada","OK")))))))</f>
        <v/>
      </c>
      <c r="K291" s="9"/>
    </row>
    <row r="292" customFormat="false" ht="15" hidden="false" customHeight="false" outlineLevel="0" collapsed="false">
      <c r="A292" s="7"/>
      <c r="B292" s="8"/>
      <c r="C292" s="9"/>
      <c r="D292" s="20"/>
      <c r="E292" s="10"/>
      <c r="F292" s="9"/>
      <c r="G292" s="11" t="str">
        <f aca="false">IF(C292="","",IFERROR(INDEX(Catálogo!$B$5:$B$2000,MATCH(C292,Catálogo!$A$5:$A$2000,0)),""))</f>
        <v/>
      </c>
      <c r="H292" s="11" t="str">
        <f aca="false">IF(C292="","",IFERROR(INDEX(Catálogo!$C$5:$C$2000,MATCH(C292,Catálogo!$A$5:$A$2000,0)),""))</f>
        <v/>
      </c>
      <c r="I292" s="11" t="str">
        <f aca="false">IF(D292="","",IF(D292&gt;UmbralAlarma,"Alarmante",IF(D292&gt;=UmbralRegular,"Regular","Bueno")))</f>
        <v/>
      </c>
      <c r="J292" s="11" t="str">
        <f aca="true">IF(COUNTA(A292:F292)=0,"",IF(OR(A292="",B292="",C292="",D292=""),"Faltan datos",IF(G292="","AP no está en el catálogo",IF(A292&gt;TODAY()+1,"Fecha futura",IF(OR(D292&lt;0,D292&lt;&gt;INT(D292)),"Usuarios no válidos",IF(AND(E292&lt;&gt;"",OR(E292&lt;0,E292&gt;1)),"Utilización fuera de 0-100%",IF(COUNTIFS($A$5:$A$604,A292,$B$5:$B$604,B292,$C$5:$C$604,C292)&gt;1,"Fila duplicada","OK")))))))</f>
        <v/>
      </c>
      <c r="K292" s="9"/>
    </row>
    <row r="293" customFormat="false" ht="15" hidden="false" customHeight="false" outlineLevel="0" collapsed="false">
      <c r="A293" s="7"/>
      <c r="B293" s="8"/>
      <c r="C293" s="9"/>
      <c r="D293" s="20"/>
      <c r="E293" s="10"/>
      <c r="F293" s="9"/>
      <c r="G293" s="11" t="str">
        <f aca="false">IF(C293="","",IFERROR(INDEX(Catálogo!$B$5:$B$2000,MATCH(C293,Catálogo!$A$5:$A$2000,0)),""))</f>
        <v/>
      </c>
      <c r="H293" s="11" t="str">
        <f aca="false">IF(C293="","",IFERROR(INDEX(Catálogo!$C$5:$C$2000,MATCH(C293,Catálogo!$A$5:$A$2000,0)),""))</f>
        <v/>
      </c>
      <c r="I293" s="11" t="str">
        <f aca="false">IF(D293="","",IF(D293&gt;UmbralAlarma,"Alarmante",IF(D293&gt;=UmbralRegular,"Regular","Bueno")))</f>
        <v/>
      </c>
      <c r="J293" s="11" t="str">
        <f aca="true">IF(COUNTA(A293:F293)=0,"",IF(OR(A293="",B293="",C293="",D293=""),"Faltan datos",IF(G293="","AP no está en el catálogo",IF(A293&gt;TODAY()+1,"Fecha futura",IF(OR(D293&lt;0,D293&lt;&gt;INT(D293)),"Usuarios no válidos",IF(AND(E293&lt;&gt;"",OR(E293&lt;0,E293&gt;1)),"Utilización fuera de 0-100%",IF(COUNTIFS($A$5:$A$604,A293,$B$5:$B$604,B293,$C$5:$C$604,C293)&gt;1,"Fila duplicada","OK")))))))</f>
        <v/>
      </c>
      <c r="K293" s="9"/>
    </row>
    <row r="294" customFormat="false" ht="15" hidden="false" customHeight="false" outlineLevel="0" collapsed="false">
      <c r="A294" s="7"/>
      <c r="B294" s="8"/>
      <c r="C294" s="9"/>
      <c r="D294" s="20"/>
      <c r="E294" s="10"/>
      <c r="F294" s="9"/>
      <c r="G294" s="11" t="str">
        <f aca="false">IF(C294="","",IFERROR(INDEX(Catálogo!$B$5:$B$2000,MATCH(C294,Catálogo!$A$5:$A$2000,0)),""))</f>
        <v/>
      </c>
      <c r="H294" s="11" t="str">
        <f aca="false">IF(C294="","",IFERROR(INDEX(Catálogo!$C$5:$C$2000,MATCH(C294,Catálogo!$A$5:$A$2000,0)),""))</f>
        <v/>
      </c>
      <c r="I294" s="11" t="str">
        <f aca="false">IF(D294="","",IF(D294&gt;UmbralAlarma,"Alarmante",IF(D294&gt;=UmbralRegular,"Regular","Bueno")))</f>
        <v/>
      </c>
      <c r="J294" s="11" t="str">
        <f aca="true">IF(COUNTA(A294:F294)=0,"",IF(OR(A294="",B294="",C294="",D294=""),"Faltan datos",IF(G294="","AP no está en el catálogo",IF(A294&gt;TODAY()+1,"Fecha futura",IF(OR(D294&lt;0,D294&lt;&gt;INT(D294)),"Usuarios no válidos",IF(AND(E294&lt;&gt;"",OR(E294&lt;0,E294&gt;1)),"Utilización fuera de 0-100%",IF(COUNTIFS($A$5:$A$604,A294,$B$5:$B$604,B294,$C$5:$C$604,C294)&gt;1,"Fila duplicada","OK")))))))</f>
        <v/>
      </c>
      <c r="K294" s="9"/>
    </row>
    <row r="295" customFormat="false" ht="15" hidden="false" customHeight="false" outlineLevel="0" collapsed="false">
      <c r="A295" s="7"/>
      <c r="B295" s="8"/>
      <c r="C295" s="9"/>
      <c r="D295" s="20"/>
      <c r="E295" s="10"/>
      <c r="F295" s="9"/>
      <c r="G295" s="11" t="str">
        <f aca="false">IF(C295="","",IFERROR(INDEX(Catálogo!$B$5:$B$2000,MATCH(C295,Catálogo!$A$5:$A$2000,0)),""))</f>
        <v/>
      </c>
      <c r="H295" s="11" t="str">
        <f aca="false">IF(C295="","",IFERROR(INDEX(Catálogo!$C$5:$C$2000,MATCH(C295,Catálogo!$A$5:$A$2000,0)),""))</f>
        <v/>
      </c>
      <c r="I295" s="11" t="str">
        <f aca="false">IF(D295="","",IF(D295&gt;UmbralAlarma,"Alarmante",IF(D295&gt;=UmbralRegular,"Regular","Bueno")))</f>
        <v/>
      </c>
      <c r="J295" s="11" t="str">
        <f aca="true">IF(COUNTA(A295:F295)=0,"",IF(OR(A295="",B295="",C295="",D295=""),"Faltan datos",IF(G295="","AP no está en el catálogo",IF(A295&gt;TODAY()+1,"Fecha futura",IF(OR(D295&lt;0,D295&lt;&gt;INT(D295)),"Usuarios no válidos",IF(AND(E295&lt;&gt;"",OR(E295&lt;0,E295&gt;1)),"Utilización fuera de 0-100%",IF(COUNTIFS($A$5:$A$604,A295,$B$5:$B$604,B295,$C$5:$C$604,C295)&gt;1,"Fila duplicada","OK")))))))</f>
        <v/>
      </c>
      <c r="K295" s="9"/>
    </row>
    <row r="296" customFormat="false" ht="15" hidden="false" customHeight="false" outlineLevel="0" collapsed="false">
      <c r="A296" s="7"/>
      <c r="B296" s="8"/>
      <c r="C296" s="9"/>
      <c r="D296" s="20"/>
      <c r="E296" s="10"/>
      <c r="F296" s="9"/>
      <c r="G296" s="11" t="str">
        <f aca="false">IF(C296="","",IFERROR(INDEX(Catálogo!$B$5:$B$2000,MATCH(C296,Catálogo!$A$5:$A$2000,0)),""))</f>
        <v/>
      </c>
      <c r="H296" s="11" t="str">
        <f aca="false">IF(C296="","",IFERROR(INDEX(Catálogo!$C$5:$C$2000,MATCH(C296,Catálogo!$A$5:$A$2000,0)),""))</f>
        <v/>
      </c>
      <c r="I296" s="11" t="str">
        <f aca="false">IF(D296="","",IF(D296&gt;UmbralAlarma,"Alarmante",IF(D296&gt;=UmbralRegular,"Regular","Bueno")))</f>
        <v/>
      </c>
      <c r="J296" s="11" t="str">
        <f aca="true">IF(COUNTA(A296:F296)=0,"",IF(OR(A296="",B296="",C296="",D296=""),"Faltan datos",IF(G296="","AP no está en el catálogo",IF(A296&gt;TODAY()+1,"Fecha futura",IF(OR(D296&lt;0,D296&lt;&gt;INT(D296)),"Usuarios no válidos",IF(AND(E296&lt;&gt;"",OR(E296&lt;0,E296&gt;1)),"Utilización fuera de 0-100%",IF(COUNTIFS($A$5:$A$604,A296,$B$5:$B$604,B296,$C$5:$C$604,C296)&gt;1,"Fila duplicada","OK")))))))</f>
        <v/>
      </c>
      <c r="K296" s="9"/>
    </row>
    <row r="297" customFormat="false" ht="15" hidden="false" customHeight="false" outlineLevel="0" collapsed="false">
      <c r="A297" s="7"/>
      <c r="B297" s="8"/>
      <c r="C297" s="9"/>
      <c r="D297" s="20"/>
      <c r="E297" s="10"/>
      <c r="F297" s="9"/>
      <c r="G297" s="11" t="str">
        <f aca="false">IF(C297="","",IFERROR(INDEX(Catálogo!$B$5:$B$2000,MATCH(C297,Catálogo!$A$5:$A$2000,0)),""))</f>
        <v/>
      </c>
      <c r="H297" s="11" t="str">
        <f aca="false">IF(C297="","",IFERROR(INDEX(Catálogo!$C$5:$C$2000,MATCH(C297,Catálogo!$A$5:$A$2000,0)),""))</f>
        <v/>
      </c>
      <c r="I297" s="11" t="str">
        <f aca="false">IF(D297="","",IF(D297&gt;UmbralAlarma,"Alarmante",IF(D297&gt;=UmbralRegular,"Regular","Bueno")))</f>
        <v/>
      </c>
      <c r="J297" s="11" t="str">
        <f aca="true">IF(COUNTA(A297:F297)=0,"",IF(OR(A297="",B297="",C297="",D297=""),"Faltan datos",IF(G297="","AP no está en el catálogo",IF(A297&gt;TODAY()+1,"Fecha futura",IF(OR(D297&lt;0,D297&lt;&gt;INT(D297)),"Usuarios no válidos",IF(AND(E297&lt;&gt;"",OR(E297&lt;0,E297&gt;1)),"Utilización fuera de 0-100%",IF(COUNTIFS($A$5:$A$604,A297,$B$5:$B$604,B297,$C$5:$C$604,C297)&gt;1,"Fila duplicada","OK")))))))</f>
        <v/>
      </c>
      <c r="K297" s="9"/>
    </row>
    <row r="298" customFormat="false" ht="15" hidden="false" customHeight="false" outlineLevel="0" collapsed="false">
      <c r="A298" s="7"/>
      <c r="B298" s="8"/>
      <c r="C298" s="9"/>
      <c r="D298" s="20"/>
      <c r="E298" s="10"/>
      <c r="F298" s="9"/>
      <c r="G298" s="11" t="str">
        <f aca="false">IF(C298="","",IFERROR(INDEX(Catálogo!$B$5:$B$2000,MATCH(C298,Catálogo!$A$5:$A$2000,0)),""))</f>
        <v/>
      </c>
      <c r="H298" s="11" t="str">
        <f aca="false">IF(C298="","",IFERROR(INDEX(Catálogo!$C$5:$C$2000,MATCH(C298,Catálogo!$A$5:$A$2000,0)),""))</f>
        <v/>
      </c>
      <c r="I298" s="11" t="str">
        <f aca="false">IF(D298="","",IF(D298&gt;UmbralAlarma,"Alarmante",IF(D298&gt;=UmbralRegular,"Regular","Bueno")))</f>
        <v/>
      </c>
      <c r="J298" s="11" t="str">
        <f aca="true">IF(COUNTA(A298:F298)=0,"",IF(OR(A298="",B298="",C298="",D298=""),"Faltan datos",IF(G298="","AP no está en el catálogo",IF(A298&gt;TODAY()+1,"Fecha futura",IF(OR(D298&lt;0,D298&lt;&gt;INT(D298)),"Usuarios no válidos",IF(AND(E298&lt;&gt;"",OR(E298&lt;0,E298&gt;1)),"Utilización fuera de 0-100%",IF(COUNTIFS($A$5:$A$604,A298,$B$5:$B$604,B298,$C$5:$C$604,C298)&gt;1,"Fila duplicada","OK")))))))</f>
        <v/>
      </c>
      <c r="K298" s="9"/>
    </row>
    <row r="299" customFormat="false" ht="15" hidden="false" customHeight="false" outlineLevel="0" collapsed="false">
      <c r="A299" s="7"/>
      <c r="B299" s="8"/>
      <c r="C299" s="9"/>
      <c r="D299" s="20"/>
      <c r="E299" s="10"/>
      <c r="F299" s="9"/>
      <c r="G299" s="11" t="str">
        <f aca="false">IF(C299="","",IFERROR(INDEX(Catálogo!$B$5:$B$2000,MATCH(C299,Catálogo!$A$5:$A$2000,0)),""))</f>
        <v/>
      </c>
      <c r="H299" s="11" t="str">
        <f aca="false">IF(C299="","",IFERROR(INDEX(Catálogo!$C$5:$C$2000,MATCH(C299,Catálogo!$A$5:$A$2000,0)),""))</f>
        <v/>
      </c>
      <c r="I299" s="11" t="str">
        <f aca="false">IF(D299="","",IF(D299&gt;UmbralAlarma,"Alarmante",IF(D299&gt;=UmbralRegular,"Regular","Bueno")))</f>
        <v/>
      </c>
      <c r="J299" s="11" t="str">
        <f aca="true">IF(COUNTA(A299:F299)=0,"",IF(OR(A299="",B299="",C299="",D299=""),"Faltan datos",IF(G299="","AP no está en el catálogo",IF(A299&gt;TODAY()+1,"Fecha futura",IF(OR(D299&lt;0,D299&lt;&gt;INT(D299)),"Usuarios no válidos",IF(AND(E299&lt;&gt;"",OR(E299&lt;0,E299&gt;1)),"Utilización fuera de 0-100%",IF(COUNTIFS($A$5:$A$604,A299,$B$5:$B$604,B299,$C$5:$C$604,C299)&gt;1,"Fila duplicada","OK")))))))</f>
        <v/>
      </c>
      <c r="K299" s="9"/>
    </row>
    <row r="300" customFormat="false" ht="15" hidden="false" customHeight="false" outlineLevel="0" collapsed="false">
      <c r="A300" s="7"/>
      <c r="B300" s="8"/>
      <c r="C300" s="9"/>
      <c r="D300" s="20"/>
      <c r="E300" s="10"/>
      <c r="F300" s="9"/>
      <c r="G300" s="11" t="str">
        <f aca="false">IF(C300="","",IFERROR(INDEX(Catálogo!$B$5:$B$2000,MATCH(C300,Catálogo!$A$5:$A$2000,0)),""))</f>
        <v/>
      </c>
      <c r="H300" s="11" t="str">
        <f aca="false">IF(C300="","",IFERROR(INDEX(Catálogo!$C$5:$C$2000,MATCH(C300,Catálogo!$A$5:$A$2000,0)),""))</f>
        <v/>
      </c>
      <c r="I300" s="11" t="str">
        <f aca="false">IF(D300="","",IF(D300&gt;UmbralAlarma,"Alarmante",IF(D300&gt;=UmbralRegular,"Regular","Bueno")))</f>
        <v/>
      </c>
      <c r="J300" s="11" t="str">
        <f aca="true">IF(COUNTA(A300:F300)=0,"",IF(OR(A300="",B300="",C300="",D300=""),"Faltan datos",IF(G300="","AP no está en el catálogo",IF(A300&gt;TODAY()+1,"Fecha futura",IF(OR(D300&lt;0,D300&lt;&gt;INT(D300)),"Usuarios no válidos",IF(AND(E300&lt;&gt;"",OR(E300&lt;0,E300&gt;1)),"Utilización fuera de 0-100%",IF(COUNTIFS($A$5:$A$604,A300,$B$5:$B$604,B300,$C$5:$C$604,C300)&gt;1,"Fila duplicada","OK")))))))</f>
        <v/>
      </c>
      <c r="K300" s="9"/>
    </row>
    <row r="301" customFormat="false" ht="15" hidden="false" customHeight="false" outlineLevel="0" collapsed="false">
      <c r="A301" s="7"/>
      <c r="B301" s="8"/>
      <c r="C301" s="9"/>
      <c r="D301" s="20"/>
      <c r="E301" s="10"/>
      <c r="F301" s="9"/>
      <c r="G301" s="11" t="str">
        <f aca="false">IF(C301="","",IFERROR(INDEX(Catálogo!$B$5:$B$2000,MATCH(C301,Catálogo!$A$5:$A$2000,0)),""))</f>
        <v/>
      </c>
      <c r="H301" s="11" t="str">
        <f aca="false">IF(C301="","",IFERROR(INDEX(Catálogo!$C$5:$C$2000,MATCH(C301,Catálogo!$A$5:$A$2000,0)),""))</f>
        <v/>
      </c>
      <c r="I301" s="11" t="str">
        <f aca="false">IF(D301="","",IF(D301&gt;UmbralAlarma,"Alarmante",IF(D301&gt;=UmbralRegular,"Regular","Bueno")))</f>
        <v/>
      </c>
      <c r="J301" s="11" t="str">
        <f aca="true">IF(COUNTA(A301:F301)=0,"",IF(OR(A301="",B301="",C301="",D301=""),"Faltan datos",IF(G301="","AP no está en el catálogo",IF(A301&gt;TODAY()+1,"Fecha futura",IF(OR(D301&lt;0,D301&lt;&gt;INT(D301)),"Usuarios no válidos",IF(AND(E301&lt;&gt;"",OR(E301&lt;0,E301&gt;1)),"Utilización fuera de 0-100%",IF(COUNTIFS($A$5:$A$604,A301,$B$5:$B$604,B301,$C$5:$C$604,C301)&gt;1,"Fila duplicada","OK")))))))</f>
        <v/>
      </c>
      <c r="K301" s="9"/>
    </row>
    <row r="302" customFormat="false" ht="15" hidden="false" customHeight="false" outlineLevel="0" collapsed="false">
      <c r="A302" s="7"/>
      <c r="B302" s="8"/>
      <c r="C302" s="9"/>
      <c r="D302" s="20"/>
      <c r="E302" s="10"/>
      <c r="F302" s="9"/>
      <c r="G302" s="11" t="str">
        <f aca="false">IF(C302="","",IFERROR(INDEX(Catálogo!$B$5:$B$2000,MATCH(C302,Catálogo!$A$5:$A$2000,0)),""))</f>
        <v/>
      </c>
      <c r="H302" s="11" t="str">
        <f aca="false">IF(C302="","",IFERROR(INDEX(Catálogo!$C$5:$C$2000,MATCH(C302,Catálogo!$A$5:$A$2000,0)),""))</f>
        <v/>
      </c>
      <c r="I302" s="11" t="str">
        <f aca="false">IF(D302="","",IF(D302&gt;UmbralAlarma,"Alarmante",IF(D302&gt;=UmbralRegular,"Regular","Bueno")))</f>
        <v/>
      </c>
      <c r="J302" s="11" t="str">
        <f aca="true">IF(COUNTA(A302:F302)=0,"",IF(OR(A302="",B302="",C302="",D302=""),"Faltan datos",IF(G302="","AP no está en el catálogo",IF(A302&gt;TODAY()+1,"Fecha futura",IF(OR(D302&lt;0,D302&lt;&gt;INT(D302)),"Usuarios no válidos",IF(AND(E302&lt;&gt;"",OR(E302&lt;0,E302&gt;1)),"Utilización fuera de 0-100%",IF(COUNTIFS($A$5:$A$604,A302,$B$5:$B$604,B302,$C$5:$C$604,C302)&gt;1,"Fila duplicada","OK")))))))</f>
        <v/>
      </c>
      <c r="K302" s="9"/>
    </row>
    <row r="303" customFormat="false" ht="15" hidden="false" customHeight="false" outlineLevel="0" collapsed="false">
      <c r="A303" s="7"/>
      <c r="B303" s="8"/>
      <c r="C303" s="9"/>
      <c r="D303" s="20"/>
      <c r="E303" s="10"/>
      <c r="F303" s="9"/>
      <c r="G303" s="11" t="str">
        <f aca="false">IF(C303="","",IFERROR(INDEX(Catálogo!$B$5:$B$2000,MATCH(C303,Catálogo!$A$5:$A$2000,0)),""))</f>
        <v/>
      </c>
      <c r="H303" s="11" t="str">
        <f aca="false">IF(C303="","",IFERROR(INDEX(Catálogo!$C$5:$C$2000,MATCH(C303,Catálogo!$A$5:$A$2000,0)),""))</f>
        <v/>
      </c>
      <c r="I303" s="11" t="str">
        <f aca="false">IF(D303="","",IF(D303&gt;UmbralAlarma,"Alarmante",IF(D303&gt;=UmbralRegular,"Regular","Bueno")))</f>
        <v/>
      </c>
      <c r="J303" s="11" t="str">
        <f aca="true">IF(COUNTA(A303:F303)=0,"",IF(OR(A303="",B303="",C303="",D303=""),"Faltan datos",IF(G303="","AP no está en el catálogo",IF(A303&gt;TODAY()+1,"Fecha futura",IF(OR(D303&lt;0,D303&lt;&gt;INT(D303)),"Usuarios no válidos",IF(AND(E303&lt;&gt;"",OR(E303&lt;0,E303&gt;1)),"Utilización fuera de 0-100%",IF(COUNTIFS($A$5:$A$604,A303,$B$5:$B$604,B303,$C$5:$C$604,C303)&gt;1,"Fila duplicada","OK")))))))</f>
        <v/>
      </c>
      <c r="K303" s="9"/>
    </row>
    <row r="304" customFormat="false" ht="15" hidden="false" customHeight="false" outlineLevel="0" collapsed="false">
      <c r="A304" s="7"/>
      <c r="B304" s="8"/>
      <c r="C304" s="9"/>
      <c r="D304" s="20"/>
      <c r="E304" s="10"/>
      <c r="F304" s="9"/>
      <c r="G304" s="11" t="str">
        <f aca="false">IF(C304="","",IFERROR(INDEX(Catálogo!$B$5:$B$2000,MATCH(C304,Catálogo!$A$5:$A$2000,0)),""))</f>
        <v/>
      </c>
      <c r="H304" s="11" t="str">
        <f aca="false">IF(C304="","",IFERROR(INDEX(Catálogo!$C$5:$C$2000,MATCH(C304,Catálogo!$A$5:$A$2000,0)),""))</f>
        <v/>
      </c>
      <c r="I304" s="11" t="str">
        <f aca="false">IF(D304="","",IF(D304&gt;UmbralAlarma,"Alarmante",IF(D304&gt;=UmbralRegular,"Regular","Bueno")))</f>
        <v/>
      </c>
      <c r="J304" s="11" t="str">
        <f aca="true">IF(COUNTA(A304:F304)=0,"",IF(OR(A304="",B304="",C304="",D304=""),"Faltan datos",IF(G304="","AP no está en el catálogo",IF(A304&gt;TODAY()+1,"Fecha futura",IF(OR(D304&lt;0,D304&lt;&gt;INT(D304)),"Usuarios no válidos",IF(AND(E304&lt;&gt;"",OR(E304&lt;0,E304&gt;1)),"Utilización fuera de 0-100%",IF(COUNTIFS($A$5:$A$604,A304,$B$5:$B$604,B304,$C$5:$C$604,C304)&gt;1,"Fila duplicada","OK")))))))</f>
        <v/>
      </c>
      <c r="K304" s="9"/>
    </row>
    <row r="305" customFormat="false" ht="15" hidden="false" customHeight="false" outlineLevel="0" collapsed="false">
      <c r="A305" s="7"/>
      <c r="B305" s="8"/>
      <c r="C305" s="9"/>
      <c r="D305" s="20"/>
      <c r="E305" s="10"/>
      <c r="F305" s="9"/>
      <c r="G305" s="11" t="str">
        <f aca="false">IF(C305="","",IFERROR(INDEX(Catálogo!$B$5:$B$2000,MATCH(C305,Catálogo!$A$5:$A$2000,0)),""))</f>
        <v/>
      </c>
      <c r="H305" s="11" t="str">
        <f aca="false">IF(C305="","",IFERROR(INDEX(Catálogo!$C$5:$C$2000,MATCH(C305,Catálogo!$A$5:$A$2000,0)),""))</f>
        <v/>
      </c>
      <c r="I305" s="11" t="str">
        <f aca="false">IF(D305="","",IF(D305&gt;UmbralAlarma,"Alarmante",IF(D305&gt;=UmbralRegular,"Regular","Bueno")))</f>
        <v/>
      </c>
      <c r="J305" s="11" t="str">
        <f aca="true">IF(COUNTA(A305:F305)=0,"",IF(OR(A305="",B305="",C305="",D305=""),"Faltan datos",IF(G305="","AP no está en el catálogo",IF(A305&gt;TODAY()+1,"Fecha futura",IF(OR(D305&lt;0,D305&lt;&gt;INT(D305)),"Usuarios no válidos",IF(AND(E305&lt;&gt;"",OR(E305&lt;0,E305&gt;1)),"Utilización fuera de 0-100%",IF(COUNTIFS($A$5:$A$604,A305,$B$5:$B$604,B305,$C$5:$C$604,C305)&gt;1,"Fila duplicada","OK")))))))</f>
        <v/>
      </c>
      <c r="K305" s="9"/>
    </row>
    <row r="306" customFormat="false" ht="15" hidden="false" customHeight="false" outlineLevel="0" collapsed="false">
      <c r="A306" s="7"/>
      <c r="B306" s="8"/>
      <c r="C306" s="9"/>
      <c r="D306" s="20"/>
      <c r="E306" s="10"/>
      <c r="F306" s="9"/>
      <c r="G306" s="11" t="str">
        <f aca="false">IF(C306="","",IFERROR(INDEX(Catálogo!$B$5:$B$2000,MATCH(C306,Catálogo!$A$5:$A$2000,0)),""))</f>
        <v/>
      </c>
      <c r="H306" s="11" t="str">
        <f aca="false">IF(C306="","",IFERROR(INDEX(Catálogo!$C$5:$C$2000,MATCH(C306,Catálogo!$A$5:$A$2000,0)),""))</f>
        <v/>
      </c>
      <c r="I306" s="11" t="str">
        <f aca="false">IF(D306="","",IF(D306&gt;UmbralAlarma,"Alarmante",IF(D306&gt;=UmbralRegular,"Regular","Bueno")))</f>
        <v/>
      </c>
      <c r="J306" s="11" t="str">
        <f aca="true">IF(COUNTA(A306:F306)=0,"",IF(OR(A306="",B306="",C306="",D306=""),"Faltan datos",IF(G306="","AP no está en el catálogo",IF(A306&gt;TODAY()+1,"Fecha futura",IF(OR(D306&lt;0,D306&lt;&gt;INT(D306)),"Usuarios no válidos",IF(AND(E306&lt;&gt;"",OR(E306&lt;0,E306&gt;1)),"Utilización fuera de 0-100%",IF(COUNTIFS($A$5:$A$604,A306,$B$5:$B$604,B306,$C$5:$C$604,C306)&gt;1,"Fila duplicada","OK")))))))</f>
        <v/>
      </c>
      <c r="K306" s="9"/>
    </row>
    <row r="307" customFormat="false" ht="15" hidden="false" customHeight="false" outlineLevel="0" collapsed="false">
      <c r="A307" s="7"/>
      <c r="B307" s="8"/>
      <c r="C307" s="9"/>
      <c r="D307" s="20"/>
      <c r="E307" s="10"/>
      <c r="F307" s="9"/>
      <c r="G307" s="11" t="str">
        <f aca="false">IF(C307="","",IFERROR(INDEX(Catálogo!$B$5:$B$2000,MATCH(C307,Catálogo!$A$5:$A$2000,0)),""))</f>
        <v/>
      </c>
      <c r="H307" s="11" t="str">
        <f aca="false">IF(C307="","",IFERROR(INDEX(Catálogo!$C$5:$C$2000,MATCH(C307,Catálogo!$A$5:$A$2000,0)),""))</f>
        <v/>
      </c>
      <c r="I307" s="11" t="str">
        <f aca="false">IF(D307="","",IF(D307&gt;UmbralAlarma,"Alarmante",IF(D307&gt;=UmbralRegular,"Regular","Bueno")))</f>
        <v/>
      </c>
      <c r="J307" s="11" t="str">
        <f aca="true">IF(COUNTA(A307:F307)=0,"",IF(OR(A307="",B307="",C307="",D307=""),"Faltan datos",IF(G307="","AP no está en el catálogo",IF(A307&gt;TODAY()+1,"Fecha futura",IF(OR(D307&lt;0,D307&lt;&gt;INT(D307)),"Usuarios no válidos",IF(AND(E307&lt;&gt;"",OR(E307&lt;0,E307&gt;1)),"Utilización fuera de 0-100%",IF(COUNTIFS($A$5:$A$604,A307,$B$5:$B$604,B307,$C$5:$C$604,C307)&gt;1,"Fila duplicada","OK")))))))</f>
        <v/>
      </c>
      <c r="K307" s="9"/>
    </row>
    <row r="308" customFormat="false" ht="15" hidden="false" customHeight="false" outlineLevel="0" collapsed="false">
      <c r="A308" s="7"/>
      <c r="B308" s="8"/>
      <c r="C308" s="9"/>
      <c r="D308" s="20"/>
      <c r="E308" s="10"/>
      <c r="F308" s="9"/>
      <c r="G308" s="11" t="str">
        <f aca="false">IF(C308="","",IFERROR(INDEX(Catálogo!$B$5:$B$2000,MATCH(C308,Catálogo!$A$5:$A$2000,0)),""))</f>
        <v/>
      </c>
      <c r="H308" s="11" t="str">
        <f aca="false">IF(C308="","",IFERROR(INDEX(Catálogo!$C$5:$C$2000,MATCH(C308,Catálogo!$A$5:$A$2000,0)),""))</f>
        <v/>
      </c>
      <c r="I308" s="11" t="str">
        <f aca="false">IF(D308="","",IF(D308&gt;UmbralAlarma,"Alarmante",IF(D308&gt;=UmbralRegular,"Regular","Bueno")))</f>
        <v/>
      </c>
      <c r="J308" s="11" t="str">
        <f aca="true">IF(COUNTA(A308:F308)=0,"",IF(OR(A308="",B308="",C308="",D308=""),"Faltan datos",IF(G308="","AP no está en el catálogo",IF(A308&gt;TODAY()+1,"Fecha futura",IF(OR(D308&lt;0,D308&lt;&gt;INT(D308)),"Usuarios no válidos",IF(AND(E308&lt;&gt;"",OR(E308&lt;0,E308&gt;1)),"Utilización fuera de 0-100%",IF(COUNTIFS($A$5:$A$604,A308,$B$5:$B$604,B308,$C$5:$C$604,C308)&gt;1,"Fila duplicada","OK")))))))</f>
        <v/>
      </c>
      <c r="K308" s="9"/>
    </row>
    <row r="309" customFormat="false" ht="15" hidden="false" customHeight="false" outlineLevel="0" collapsed="false">
      <c r="A309" s="7"/>
      <c r="B309" s="8"/>
      <c r="C309" s="9"/>
      <c r="D309" s="20"/>
      <c r="E309" s="10"/>
      <c r="F309" s="9"/>
      <c r="G309" s="11" t="str">
        <f aca="false">IF(C309="","",IFERROR(INDEX(Catálogo!$B$5:$B$2000,MATCH(C309,Catálogo!$A$5:$A$2000,0)),""))</f>
        <v/>
      </c>
      <c r="H309" s="11" t="str">
        <f aca="false">IF(C309="","",IFERROR(INDEX(Catálogo!$C$5:$C$2000,MATCH(C309,Catálogo!$A$5:$A$2000,0)),""))</f>
        <v/>
      </c>
      <c r="I309" s="11" t="str">
        <f aca="false">IF(D309="","",IF(D309&gt;UmbralAlarma,"Alarmante",IF(D309&gt;=UmbralRegular,"Regular","Bueno")))</f>
        <v/>
      </c>
      <c r="J309" s="11" t="str">
        <f aca="true">IF(COUNTA(A309:F309)=0,"",IF(OR(A309="",B309="",C309="",D309=""),"Faltan datos",IF(G309="","AP no está en el catálogo",IF(A309&gt;TODAY()+1,"Fecha futura",IF(OR(D309&lt;0,D309&lt;&gt;INT(D309)),"Usuarios no válidos",IF(AND(E309&lt;&gt;"",OR(E309&lt;0,E309&gt;1)),"Utilización fuera de 0-100%",IF(COUNTIFS($A$5:$A$604,A309,$B$5:$B$604,B309,$C$5:$C$604,C309)&gt;1,"Fila duplicada","OK")))))))</f>
        <v/>
      </c>
      <c r="K309" s="9"/>
    </row>
    <row r="310" customFormat="false" ht="15" hidden="false" customHeight="false" outlineLevel="0" collapsed="false">
      <c r="A310" s="7"/>
      <c r="B310" s="8"/>
      <c r="C310" s="9"/>
      <c r="D310" s="20"/>
      <c r="E310" s="10"/>
      <c r="F310" s="9"/>
      <c r="G310" s="11" t="str">
        <f aca="false">IF(C310="","",IFERROR(INDEX(Catálogo!$B$5:$B$2000,MATCH(C310,Catálogo!$A$5:$A$2000,0)),""))</f>
        <v/>
      </c>
      <c r="H310" s="11" t="str">
        <f aca="false">IF(C310="","",IFERROR(INDEX(Catálogo!$C$5:$C$2000,MATCH(C310,Catálogo!$A$5:$A$2000,0)),""))</f>
        <v/>
      </c>
      <c r="I310" s="11" t="str">
        <f aca="false">IF(D310="","",IF(D310&gt;UmbralAlarma,"Alarmante",IF(D310&gt;=UmbralRegular,"Regular","Bueno")))</f>
        <v/>
      </c>
      <c r="J310" s="11" t="str">
        <f aca="true">IF(COUNTA(A310:F310)=0,"",IF(OR(A310="",B310="",C310="",D310=""),"Faltan datos",IF(G310="","AP no está en el catálogo",IF(A310&gt;TODAY()+1,"Fecha futura",IF(OR(D310&lt;0,D310&lt;&gt;INT(D310)),"Usuarios no válidos",IF(AND(E310&lt;&gt;"",OR(E310&lt;0,E310&gt;1)),"Utilización fuera de 0-100%",IF(COUNTIFS($A$5:$A$604,A310,$B$5:$B$604,B310,$C$5:$C$604,C310)&gt;1,"Fila duplicada","OK")))))))</f>
        <v/>
      </c>
      <c r="K310" s="9"/>
    </row>
    <row r="311" customFormat="false" ht="15" hidden="false" customHeight="false" outlineLevel="0" collapsed="false">
      <c r="A311" s="7"/>
      <c r="B311" s="8"/>
      <c r="C311" s="9"/>
      <c r="D311" s="20"/>
      <c r="E311" s="10"/>
      <c r="F311" s="9"/>
      <c r="G311" s="11" t="str">
        <f aca="false">IF(C311="","",IFERROR(INDEX(Catálogo!$B$5:$B$2000,MATCH(C311,Catálogo!$A$5:$A$2000,0)),""))</f>
        <v/>
      </c>
      <c r="H311" s="11" t="str">
        <f aca="false">IF(C311="","",IFERROR(INDEX(Catálogo!$C$5:$C$2000,MATCH(C311,Catálogo!$A$5:$A$2000,0)),""))</f>
        <v/>
      </c>
      <c r="I311" s="11" t="str">
        <f aca="false">IF(D311="","",IF(D311&gt;UmbralAlarma,"Alarmante",IF(D311&gt;=UmbralRegular,"Regular","Bueno")))</f>
        <v/>
      </c>
      <c r="J311" s="11" t="str">
        <f aca="true">IF(COUNTA(A311:F311)=0,"",IF(OR(A311="",B311="",C311="",D311=""),"Faltan datos",IF(G311="","AP no está en el catálogo",IF(A311&gt;TODAY()+1,"Fecha futura",IF(OR(D311&lt;0,D311&lt;&gt;INT(D311)),"Usuarios no válidos",IF(AND(E311&lt;&gt;"",OR(E311&lt;0,E311&gt;1)),"Utilización fuera de 0-100%",IF(COUNTIFS($A$5:$A$604,A311,$B$5:$B$604,B311,$C$5:$C$604,C311)&gt;1,"Fila duplicada","OK")))))))</f>
        <v/>
      </c>
      <c r="K311" s="9"/>
    </row>
    <row r="312" customFormat="false" ht="15" hidden="false" customHeight="false" outlineLevel="0" collapsed="false">
      <c r="A312" s="7"/>
      <c r="B312" s="8"/>
      <c r="C312" s="9"/>
      <c r="D312" s="20"/>
      <c r="E312" s="10"/>
      <c r="F312" s="9"/>
      <c r="G312" s="11" t="str">
        <f aca="false">IF(C312="","",IFERROR(INDEX(Catálogo!$B$5:$B$2000,MATCH(C312,Catálogo!$A$5:$A$2000,0)),""))</f>
        <v/>
      </c>
      <c r="H312" s="11" t="str">
        <f aca="false">IF(C312="","",IFERROR(INDEX(Catálogo!$C$5:$C$2000,MATCH(C312,Catálogo!$A$5:$A$2000,0)),""))</f>
        <v/>
      </c>
      <c r="I312" s="11" t="str">
        <f aca="false">IF(D312="","",IF(D312&gt;UmbralAlarma,"Alarmante",IF(D312&gt;=UmbralRegular,"Regular","Bueno")))</f>
        <v/>
      </c>
      <c r="J312" s="11" t="str">
        <f aca="true">IF(COUNTA(A312:F312)=0,"",IF(OR(A312="",B312="",C312="",D312=""),"Faltan datos",IF(G312="","AP no está en el catálogo",IF(A312&gt;TODAY()+1,"Fecha futura",IF(OR(D312&lt;0,D312&lt;&gt;INT(D312)),"Usuarios no válidos",IF(AND(E312&lt;&gt;"",OR(E312&lt;0,E312&gt;1)),"Utilización fuera de 0-100%",IF(COUNTIFS($A$5:$A$604,A312,$B$5:$B$604,B312,$C$5:$C$604,C312)&gt;1,"Fila duplicada","OK")))))))</f>
        <v/>
      </c>
      <c r="K312" s="9"/>
    </row>
    <row r="313" customFormat="false" ht="15" hidden="false" customHeight="false" outlineLevel="0" collapsed="false">
      <c r="A313" s="7"/>
      <c r="B313" s="8"/>
      <c r="C313" s="9"/>
      <c r="D313" s="20"/>
      <c r="E313" s="10"/>
      <c r="F313" s="9"/>
      <c r="G313" s="11" t="str">
        <f aca="false">IF(C313="","",IFERROR(INDEX(Catálogo!$B$5:$B$2000,MATCH(C313,Catálogo!$A$5:$A$2000,0)),""))</f>
        <v/>
      </c>
      <c r="H313" s="11" t="str">
        <f aca="false">IF(C313="","",IFERROR(INDEX(Catálogo!$C$5:$C$2000,MATCH(C313,Catálogo!$A$5:$A$2000,0)),""))</f>
        <v/>
      </c>
      <c r="I313" s="11" t="str">
        <f aca="false">IF(D313="","",IF(D313&gt;UmbralAlarma,"Alarmante",IF(D313&gt;=UmbralRegular,"Regular","Bueno")))</f>
        <v/>
      </c>
      <c r="J313" s="11" t="str">
        <f aca="true">IF(COUNTA(A313:F313)=0,"",IF(OR(A313="",B313="",C313="",D313=""),"Faltan datos",IF(G313="","AP no está en el catálogo",IF(A313&gt;TODAY()+1,"Fecha futura",IF(OR(D313&lt;0,D313&lt;&gt;INT(D313)),"Usuarios no válidos",IF(AND(E313&lt;&gt;"",OR(E313&lt;0,E313&gt;1)),"Utilización fuera de 0-100%",IF(COUNTIFS($A$5:$A$604,A313,$B$5:$B$604,B313,$C$5:$C$604,C313)&gt;1,"Fila duplicada","OK")))))))</f>
        <v/>
      </c>
      <c r="K313" s="9"/>
    </row>
    <row r="314" customFormat="false" ht="15" hidden="false" customHeight="false" outlineLevel="0" collapsed="false">
      <c r="A314" s="7"/>
      <c r="B314" s="8"/>
      <c r="C314" s="9"/>
      <c r="D314" s="20"/>
      <c r="E314" s="10"/>
      <c r="F314" s="9"/>
      <c r="G314" s="11" t="str">
        <f aca="false">IF(C314="","",IFERROR(INDEX(Catálogo!$B$5:$B$2000,MATCH(C314,Catálogo!$A$5:$A$2000,0)),""))</f>
        <v/>
      </c>
      <c r="H314" s="11" t="str">
        <f aca="false">IF(C314="","",IFERROR(INDEX(Catálogo!$C$5:$C$2000,MATCH(C314,Catálogo!$A$5:$A$2000,0)),""))</f>
        <v/>
      </c>
      <c r="I314" s="11" t="str">
        <f aca="false">IF(D314="","",IF(D314&gt;UmbralAlarma,"Alarmante",IF(D314&gt;=UmbralRegular,"Regular","Bueno")))</f>
        <v/>
      </c>
      <c r="J314" s="11" t="str">
        <f aca="true">IF(COUNTA(A314:F314)=0,"",IF(OR(A314="",B314="",C314="",D314=""),"Faltan datos",IF(G314="","AP no está en el catálogo",IF(A314&gt;TODAY()+1,"Fecha futura",IF(OR(D314&lt;0,D314&lt;&gt;INT(D314)),"Usuarios no válidos",IF(AND(E314&lt;&gt;"",OR(E314&lt;0,E314&gt;1)),"Utilización fuera de 0-100%",IF(COUNTIFS($A$5:$A$604,A314,$B$5:$B$604,B314,$C$5:$C$604,C314)&gt;1,"Fila duplicada","OK")))))))</f>
        <v/>
      </c>
      <c r="K314" s="9"/>
    </row>
    <row r="315" customFormat="false" ht="15" hidden="false" customHeight="false" outlineLevel="0" collapsed="false">
      <c r="A315" s="7"/>
      <c r="B315" s="8"/>
      <c r="C315" s="9"/>
      <c r="D315" s="20"/>
      <c r="E315" s="10"/>
      <c r="F315" s="9"/>
      <c r="G315" s="11" t="str">
        <f aca="false">IF(C315="","",IFERROR(INDEX(Catálogo!$B$5:$B$2000,MATCH(C315,Catálogo!$A$5:$A$2000,0)),""))</f>
        <v/>
      </c>
      <c r="H315" s="11" t="str">
        <f aca="false">IF(C315="","",IFERROR(INDEX(Catálogo!$C$5:$C$2000,MATCH(C315,Catálogo!$A$5:$A$2000,0)),""))</f>
        <v/>
      </c>
      <c r="I315" s="11" t="str">
        <f aca="false">IF(D315="","",IF(D315&gt;UmbralAlarma,"Alarmante",IF(D315&gt;=UmbralRegular,"Regular","Bueno")))</f>
        <v/>
      </c>
      <c r="J315" s="11" t="str">
        <f aca="true">IF(COUNTA(A315:F315)=0,"",IF(OR(A315="",B315="",C315="",D315=""),"Faltan datos",IF(G315="","AP no está en el catálogo",IF(A315&gt;TODAY()+1,"Fecha futura",IF(OR(D315&lt;0,D315&lt;&gt;INT(D315)),"Usuarios no válidos",IF(AND(E315&lt;&gt;"",OR(E315&lt;0,E315&gt;1)),"Utilización fuera de 0-100%",IF(COUNTIFS($A$5:$A$604,A315,$B$5:$B$604,B315,$C$5:$C$604,C315)&gt;1,"Fila duplicada","OK")))))))</f>
        <v/>
      </c>
      <c r="K315" s="9"/>
    </row>
    <row r="316" customFormat="false" ht="15" hidden="false" customHeight="false" outlineLevel="0" collapsed="false">
      <c r="A316" s="7"/>
      <c r="B316" s="8"/>
      <c r="C316" s="9"/>
      <c r="D316" s="20"/>
      <c r="E316" s="10"/>
      <c r="F316" s="9"/>
      <c r="G316" s="11" t="str">
        <f aca="false">IF(C316="","",IFERROR(INDEX(Catálogo!$B$5:$B$2000,MATCH(C316,Catálogo!$A$5:$A$2000,0)),""))</f>
        <v/>
      </c>
      <c r="H316" s="11" t="str">
        <f aca="false">IF(C316="","",IFERROR(INDEX(Catálogo!$C$5:$C$2000,MATCH(C316,Catálogo!$A$5:$A$2000,0)),""))</f>
        <v/>
      </c>
      <c r="I316" s="11" t="str">
        <f aca="false">IF(D316="","",IF(D316&gt;UmbralAlarma,"Alarmante",IF(D316&gt;=UmbralRegular,"Regular","Bueno")))</f>
        <v/>
      </c>
      <c r="J316" s="11" t="str">
        <f aca="true">IF(COUNTA(A316:F316)=0,"",IF(OR(A316="",B316="",C316="",D316=""),"Faltan datos",IF(G316="","AP no está en el catálogo",IF(A316&gt;TODAY()+1,"Fecha futura",IF(OR(D316&lt;0,D316&lt;&gt;INT(D316)),"Usuarios no válidos",IF(AND(E316&lt;&gt;"",OR(E316&lt;0,E316&gt;1)),"Utilización fuera de 0-100%",IF(COUNTIFS($A$5:$A$604,A316,$B$5:$B$604,B316,$C$5:$C$604,C316)&gt;1,"Fila duplicada","OK")))))))</f>
        <v/>
      </c>
      <c r="K316" s="9"/>
    </row>
    <row r="317" customFormat="false" ht="15" hidden="false" customHeight="false" outlineLevel="0" collapsed="false">
      <c r="A317" s="7"/>
      <c r="B317" s="8"/>
      <c r="C317" s="9"/>
      <c r="D317" s="20"/>
      <c r="E317" s="10"/>
      <c r="F317" s="9"/>
      <c r="G317" s="11" t="str">
        <f aca="false">IF(C317="","",IFERROR(INDEX(Catálogo!$B$5:$B$2000,MATCH(C317,Catálogo!$A$5:$A$2000,0)),""))</f>
        <v/>
      </c>
      <c r="H317" s="11" t="str">
        <f aca="false">IF(C317="","",IFERROR(INDEX(Catálogo!$C$5:$C$2000,MATCH(C317,Catálogo!$A$5:$A$2000,0)),""))</f>
        <v/>
      </c>
      <c r="I317" s="11" t="str">
        <f aca="false">IF(D317="","",IF(D317&gt;UmbralAlarma,"Alarmante",IF(D317&gt;=UmbralRegular,"Regular","Bueno")))</f>
        <v/>
      </c>
      <c r="J317" s="11" t="str">
        <f aca="true">IF(COUNTA(A317:F317)=0,"",IF(OR(A317="",B317="",C317="",D317=""),"Faltan datos",IF(G317="","AP no está en el catálogo",IF(A317&gt;TODAY()+1,"Fecha futura",IF(OR(D317&lt;0,D317&lt;&gt;INT(D317)),"Usuarios no válidos",IF(AND(E317&lt;&gt;"",OR(E317&lt;0,E317&gt;1)),"Utilización fuera de 0-100%",IF(COUNTIFS($A$5:$A$604,A317,$B$5:$B$604,B317,$C$5:$C$604,C317)&gt;1,"Fila duplicada","OK")))))))</f>
        <v/>
      </c>
      <c r="K317" s="9"/>
    </row>
    <row r="318" customFormat="false" ht="15" hidden="false" customHeight="false" outlineLevel="0" collapsed="false">
      <c r="A318" s="7"/>
      <c r="B318" s="8"/>
      <c r="C318" s="9"/>
      <c r="D318" s="20"/>
      <c r="E318" s="10"/>
      <c r="F318" s="9"/>
      <c r="G318" s="11" t="str">
        <f aca="false">IF(C318="","",IFERROR(INDEX(Catálogo!$B$5:$B$2000,MATCH(C318,Catálogo!$A$5:$A$2000,0)),""))</f>
        <v/>
      </c>
      <c r="H318" s="11" t="str">
        <f aca="false">IF(C318="","",IFERROR(INDEX(Catálogo!$C$5:$C$2000,MATCH(C318,Catálogo!$A$5:$A$2000,0)),""))</f>
        <v/>
      </c>
      <c r="I318" s="11" t="str">
        <f aca="false">IF(D318="","",IF(D318&gt;UmbralAlarma,"Alarmante",IF(D318&gt;=UmbralRegular,"Regular","Bueno")))</f>
        <v/>
      </c>
      <c r="J318" s="11" t="str">
        <f aca="true">IF(COUNTA(A318:F318)=0,"",IF(OR(A318="",B318="",C318="",D318=""),"Faltan datos",IF(G318="","AP no está en el catálogo",IF(A318&gt;TODAY()+1,"Fecha futura",IF(OR(D318&lt;0,D318&lt;&gt;INT(D318)),"Usuarios no válidos",IF(AND(E318&lt;&gt;"",OR(E318&lt;0,E318&gt;1)),"Utilización fuera de 0-100%",IF(COUNTIFS($A$5:$A$604,A318,$B$5:$B$604,B318,$C$5:$C$604,C318)&gt;1,"Fila duplicada","OK")))))))</f>
        <v/>
      </c>
      <c r="K318" s="9"/>
    </row>
    <row r="319" customFormat="false" ht="15" hidden="false" customHeight="false" outlineLevel="0" collapsed="false">
      <c r="A319" s="7"/>
      <c r="B319" s="8"/>
      <c r="C319" s="9"/>
      <c r="D319" s="20"/>
      <c r="E319" s="10"/>
      <c r="F319" s="9"/>
      <c r="G319" s="11" t="str">
        <f aca="false">IF(C319="","",IFERROR(INDEX(Catálogo!$B$5:$B$2000,MATCH(C319,Catálogo!$A$5:$A$2000,0)),""))</f>
        <v/>
      </c>
      <c r="H319" s="11" t="str">
        <f aca="false">IF(C319="","",IFERROR(INDEX(Catálogo!$C$5:$C$2000,MATCH(C319,Catálogo!$A$5:$A$2000,0)),""))</f>
        <v/>
      </c>
      <c r="I319" s="11" t="str">
        <f aca="false">IF(D319="","",IF(D319&gt;UmbralAlarma,"Alarmante",IF(D319&gt;=UmbralRegular,"Regular","Bueno")))</f>
        <v/>
      </c>
      <c r="J319" s="11" t="str">
        <f aca="true">IF(COUNTA(A319:F319)=0,"",IF(OR(A319="",B319="",C319="",D319=""),"Faltan datos",IF(G319="","AP no está en el catálogo",IF(A319&gt;TODAY()+1,"Fecha futura",IF(OR(D319&lt;0,D319&lt;&gt;INT(D319)),"Usuarios no válidos",IF(AND(E319&lt;&gt;"",OR(E319&lt;0,E319&gt;1)),"Utilización fuera de 0-100%",IF(COUNTIFS($A$5:$A$604,A319,$B$5:$B$604,B319,$C$5:$C$604,C319)&gt;1,"Fila duplicada","OK")))))))</f>
        <v/>
      </c>
      <c r="K319" s="9"/>
    </row>
    <row r="320" customFormat="false" ht="15" hidden="false" customHeight="false" outlineLevel="0" collapsed="false">
      <c r="A320" s="7"/>
      <c r="B320" s="8"/>
      <c r="C320" s="9"/>
      <c r="D320" s="20"/>
      <c r="E320" s="10"/>
      <c r="F320" s="9"/>
      <c r="G320" s="11" t="str">
        <f aca="false">IF(C320="","",IFERROR(INDEX(Catálogo!$B$5:$B$2000,MATCH(C320,Catálogo!$A$5:$A$2000,0)),""))</f>
        <v/>
      </c>
      <c r="H320" s="11" t="str">
        <f aca="false">IF(C320="","",IFERROR(INDEX(Catálogo!$C$5:$C$2000,MATCH(C320,Catálogo!$A$5:$A$2000,0)),""))</f>
        <v/>
      </c>
      <c r="I320" s="11" t="str">
        <f aca="false">IF(D320="","",IF(D320&gt;UmbralAlarma,"Alarmante",IF(D320&gt;=UmbralRegular,"Regular","Bueno")))</f>
        <v/>
      </c>
      <c r="J320" s="11" t="str">
        <f aca="true">IF(COUNTA(A320:F320)=0,"",IF(OR(A320="",B320="",C320="",D320=""),"Faltan datos",IF(G320="","AP no está en el catálogo",IF(A320&gt;TODAY()+1,"Fecha futura",IF(OR(D320&lt;0,D320&lt;&gt;INT(D320)),"Usuarios no válidos",IF(AND(E320&lt;&gt;"",OR(E320&lt;0,E320&gt;1)),"Utilización fuera de 0-100%",IF(COUNTIFS($A$5:$A$604,A320,$B$5:$B$604,B320,$C$5:$C$604,C320)&gt;1,"Fila duplicada","OK")))))))</f>
        <v/>
      </c>
      <c r="K320" s="9"/>
    </row>
    <row r="321" customFormat="false" ht="15" hidden="false" customHeight="false" outlineLevel="0" collapsed="false">
      <c r="A321" s="7"/>
      <c r="B321" s="8"/>
      <c r="C321" s="9"/>
      <c r="D321" s="20"/>
      <c r="E321" s="10"/>
      <c r="F321" s="9"/>
      <c r="G321" s="11" t="str">
        <f aca="false">IF(C321="","",IFERROR(INDEX(Catálogo!$B$5:$B$2000,MATCH(C321,Catálogo!$A$5:$A$2000,0)),""))</f>
        <v/>
      </c>
      <c r="H321" s="11" t="str">
        <f aca="false">IF(C321="","",IFERROR(INDEX(Catálogo!$C$5:$C$2000,MATCH(C321,Catálogo!$A$5:$A$2000,0)),""))</f>
        <v/>
      </c>
      <c r="I321" s="11" t="str">
        <f aca="false">IF(D321="","",IF(D321&gt;UmbralAlarma,"Alarmante",IF(D321&gt;=UmbralRegular,"Regular","Bueno")))</f>
        <v/>
      </c>
      <c r="J321" s="11" t="str">
        <f aca="true">IF(COUNTA(A321:F321)=0,"",IF(OR(A321="",B321="",C321="",D321=""),"Faltan datos",IF(G321="","AP no está en el catálogo",IF(A321&gt;TODAY()+1,"Fecha futura",IF(OR(D321&lt;0,D321&lt;&gt;INT(D321)),"Usuarios no válidos",IF(AND(E321&lt;&gt;"",OR(E321&lt;0,E321&gt;1)),"Utilización fuera de 0-100%",IF(COUNTIFS($A$5:$A$604,A321,$B$5:$B$604,B321,$C$5:$C$604,C321)&gt;1,"Fila duplicada","OK")))))))</f>
        <v/>
      </c>
      <c r="K321" s="9"/>
    </row>
    <row r="322" customFormat="false" ht="15" hidden="false" customHeight="false" outlineLevel="0" collapsed="false">
      <c r="A322" s="7"/>
      <c r="B322" s="8"/>
      <c r="C322" s="9"/>
      <c r="D322" s="20"/>
      <c r="E322" s="10"/>
      <c r="F322" s="9"/>
      <c r="G322" s="11" t="str">
        <f aca="false">IF(C322="","",IFERROR(INDEX(Catálogo!$B$5:$B$2000,MATCH(C322,Catálogo!$A$5:$A$2000,0)),""))</f>
        <v/>
      </c>
      <c r="H322" s="11" t="str">
        <f aca="false">IF(C322="","",IFERROR(INDEX(Catálogo!$C$5:$C$2000,MATCH(C322,Catálogo!$A$5:$A$2000,0)),""))</f>
        <v/>
      </c>
      <c r="I322" s="11" t="str">
        <f aca="false">IF(D322="","",IF(D322&gt;UmbralAlarma,"Alarmante",IF(D322&gt;=UmbralRegular,"Regular","Bueno")))</f>
        <v/>
      </c>
      <c r="J322" s="11" t="str">
        <f aca="true">IF(COUNTA(A322:F322)=0,"",IF(OR(A322="",B322="",C322="",D322=""),"Faltan datos",IF(G322="","AP no está en el catálogo",IF(A322&gt;TODAY()+1,"Fecha futura",IF(OR(D322&lt;0,D322&lt;&gt;INT(D322)),"Usuarios no válidos",IF(AND(E322&lt;&gt;"",OR(E322&lt;0,E322&gt;1)),"Utilización fuera de 0-100%",IF(COUNTIFS($A$5:$A$604,A322,$B$5:$B$604,B322,$C$5:$C$604,C322)&gt;1,"Fila duplicada","OK")))))))</f>
        <v/>
      </c>
      <c r="K322" s="9"/>
    </row>
    <row r="323" customFormat="false" ht="15" hidden="false" customHeight="false" outlineLevel="0" collapsed="false">
      <c r="A323" s="7"/>
      <c r="B323" s="8"/>
      <c r="C323" s="9"/>
      <c r="D323" s="20"/>
      <c r="E323" s="10"/>
      <c r="F323" s="9"/>
      <c r="G323" s="11" t="str">
        <f aca="false">IF(C323="","",IFERROR(INDEX(Catálogo!$B$5:$B$2000,MATCH(C323,Catálogo!$A$5:$A$2000,0)),""))</f>
        <v/>
      </c>
      <c r="H323" s="11" t="str">
        <f aca="false">IF(C323="","",IFERROR(INDEX(Catálogo!$C$5:$C$2000,MATCH(C323,Catálogo!$A$5:$A$2000,0)),""))</f>
        <v/>
      </c>
      <c r="I323" s="11" t="str">
        <f aca="false">IF(D323="","",IF(D323&gt;UmbralAlarma,"Alarmante",IF(D323&gt;=UmbralRegular,"Regular","Bueno")))</f>
        <v/>
      </c>
      <c r="J323" s="11" t="str">
        <f aca="true">IF(COUNTA(A323:F323)=0,"",IF(OR(A323="",B323="",C323="",D323=""),"Faltan datos",IF(G323="","AP no está en el catálogo",IF(A323&gt;TODAY()+1,"Fecha futura",IF(OR(D323&lt;0,D323&lt;&gt;INT(D323)),"Usuarios no válidos",IF(AND(E323&lt;&gt;"",OR(E323&lt;0,E323&gt;1)),"Utilización fuera de 0-100%",IF(COUNTIFS($A$5:$A$604,A323,$B$5:$B$604,B323,$C$5:$C$604,C323)&gt;1,"Fila duplicada","OK")))))))</f>
        <v/>
      </c>
      <c r="K323" s="9"/>
    </row>
    <row r="324" customFormat="false" ht="15" hidden="false" customHeight="false" outlineLevel="0" collapsed="false">
      <c r="A324" s="7"/>
      <c r="B324" s="8"/>
      <c r="C324" s="9"/>
      <c r="D324" s="20"/>
      <c r="E324" s="10"/>
      <c r="F324" s="9"/>
      <c r="G324" s="11" t="str">
        <f aca="false">IF(C324="","",IFERROR(INDEX(Catálogo!$B$5:$B$2000,MATCH(C324,Catálogo!$A$5:$A$2000,0)),""))</f>
        <v/>
      </c>
      <c r="H324" s="11" t="str">
        <f aca="false">IF(C324="","",IFERROR(INDEX(Catálogo!$C$5:$C$2000,MATCH(C324,Catálogo!$A$5:$A$2000,0)),""))</f>
        <v/>
      </c>
      <c r="I324" s="11" t="str">
        <f aca="false">IF(D324="","",IF(D324&gt;UmbralAlarma,"Alarmante",IF(D324&gt;=UmbralRegular,"Regular","Bueno")))</f>
        <v/>
      </c>
      <c r="J324" s="11" t="str">
        <f aca="true">IF(COUNTA(A324:F324)=0,"",IF(OR(A324="",B324="",C324="",D324=""),"Faltan datos",IF(G324="","AP no está en el catálogo",IF(A324&gt;TODAY()+1,"Fecha futura",IF(OR(D324&lt;0,D324&lt;&gt;INT(D324)),"Usuarios no válidos",IF(AND(E324&lt;&gt;"",OR(E324&lt;0,E324&gt;1)),"Utilización fuera de 0-100%",IF(COUNTIFS($A$5:$A$604,A324,$B$5:$B$604,B324,$C$5:$C$604,C324)&gt;1,"Fila duplicada","OK")))))))</f>
        <v/>
      </c>
      <c r="K324" s="9"/>
    </row>
    <row r="325" customFormat="false" ht="15" hidden="false" customHeight="false" outlineLevel="0" collapsed="false">
      <c r="A325" s="7"/>
      <c r="B325" s="8"/>
      <c r="C325" s="9"/>
      <c r="D325" s="20"/>
      <c r="E325" s="10"/>
      <c r="F325" s="9"/>
      <c r="G325" s="11" t="str">
        <f aca="false">IF(C325="","",IFERROR(INDEX(Catálogo!$B$5:$B$2000,MATCH(C325,Catálogo!$A$5:$A$2000,0)),""))</f>
        <v/>
      </c>
      <c r="H325" s="11" t="str">
        <f aca="false">IF(C325="","",IFERROR(INDEX(Catálogo!$C$5:$C$2000,MATCH(C325,Catálogo!$A$5:$A$2000,0)),""))</f>
        <v/>
      </c>
      <c r="I325" s="11" t="str">
        <f aca="false">IF(D325="","",IF(D325&gt;UmbralAlarma,"Alarmante",IF(D325&gt;=UmbralRegular,"Regular","Bueno")))</f>
        <v/>
      </c>
      <c r="J325" s="11" t="str">
        <f aca="true">IF(COUNTA(A325:F325)=0,"",IF(OR(A325="",B325="",C325="",D325=""),"Faltan datos",IF(G325="","AP no está en el catálogo",IF(A325&gt;TODAY()+1,"Fecha futura",IF(OR(D325&lt;0,D325&lt;&gt;INT(D325)),"Usuarios no válidos",IF(AND(E325&lt;&gt;"",OR(E325&lt;0,E325&gt;1)),"Utilización fuera de 0-100%",IF(COUNTIFS($A$5:$A$604,A325,$B$5:$B$604,B325,$C$5:$C$604,C325)&gt;1,"Fila duplicada","OK")))))))</f>
        <v/>
      </c>
      <c r="K325" s="9"/>
    </row>
    <row r="326" customFormat="false" ht="15" hidden="false" customHeight="false" outlineLevel="0" collapsed="false">
      <c r="A326" s="7"/>
      <c r="B326" s="8"/>
      <c r="C326" s="9"/>
      <c r="D326" s="20"/>
      <c r="E326" s="10"/>
      <c r="F326" s="9"/>
      <c r="G326" s="11" t="str">
        <f aca="false">IF(C326="","",IFERROR(INDEX(Catálogo!$B$5:$B$2000,MATCH(C326,Catálogo!$A$5:$A$2000,0)),""))</f>
        <v/>
      </c>
      <c r="H326" s="11" t="str">
        <f aca="false">IF(C326="","",IFERROR(INDEX(Catálogo!$C$5:$C$2000,MATCH(C326,Catálogo!$A$5:$A$2000,0)),""))</f>
        <v/>
      </c>
      <c r="I326" s="11" t="str">
        <f aca="false">IF(D326="","",IF(D326&gt;UmbralAlarma,"Alarmante",IF(D326&gt;=UmbralRegular,"Regular","Bueno")))</f>
        <v/>
      </c>
      <c r="J326" s="11" t="str">
        <f aca="true">IF(COUNTA(A326:F326)=0,"",IF(OR(A326="",B326="",C326="",D326=""),"Faltan datos",IF(G326="","AP no está en el catálogo",IF(A326&gt;TODAY()+1,"Fecha futura",IF(OR(D326&lt;0,D326&lt;&gt;INT(D326)),"Usuarios no válidos",IF(AND(E326&lt;&gt;"",OR(E326&lt;0,E326&gt;1)),"Utilización fuera de 0-100%",IF(COUNTIFS($A$5:$A$604,A326,$B$5:$B$604,B326,$C$5:$C$604,C326)&gt;1,"Fila duplicada","OK")))))))</f>
        <v/>
      </c>
      <c r="K326" s="9"/>
    </row>
    <row r="327" customFormat="false" ht="15" hidden="false" customHeight="false" outlineLevel="0" collapsed="false">
      <c r="A327" s="7"/>
      <c r="B327" s="8"/>
      <c r="C327" s="9"/>
      <c r="D327" s="20"/>
      <c r="E327" s="10"/>
      <c r="F327" s="9"/>
      <c r="G327" s="11" t="str">
        <f aca="false">IF(C327="","",IFERROR(INDEX(Catálogo!$B$5:$B$2000,MATCH(C327,Catálogo!$A$5:$A$2000,0)),""))</f>
        <v/>
      </c>
      <c r="H327" s="11" t="str">
        <f aca="false">IF(C327="","",IFERROR(INDEX(Catálogo!$C$5:$C$2000,MATCH(C327,Catálogo!$A$5:$A$2000,0)),""))</f>
        <v/>
      </c>
      <c r="I327" s="11" t="str">
        <f aca="false">IF(D327="","",IF(D327&gt;UmbralAlarma,"Alarmante",IF(D327&gt;=UmbralRegular,"Regular","Bueno")))</f>
        <v/>
      </c>
      <c r="J327" s="11" t="str">
        <f aca="true">IF(COUNTA(A327:F327)=0,"",IF(OR(A327="",B327="",C327="",D327=""),"Faltan datos",IF(G327="","AP no está en el catálogo",IF(A327&gt;TODAY()+1,"Fecha futura",IF(OR(D327&lt;0,D327&lt;&gt;INT(D327)),"Usuarios no válidos",IF(AND(E327&lt;&gt;"",OR(E327&lt;0,E327&gt;1)),"Utilización fuera de 0-100%",IF(COUNTIFS($A$5:$A$604,A327,$B$5:$B$604,B327,$C$5:$C$604,C327)&gt;1,"Fila duplicada","OK")))))))</f>
        <v/>
      </c>
      <c r="K327" s="9"/>
    </row>
    <row r="328" customFormat="false" ht="15" hidden="false" customHeight="false" outlineLevel="0" collapsed="false">
      <c r="A328" s="7"/>
      <c r="B328" s="8"/>
      <c r="C328" s="9"/>
      <c r="D328" s="20"/>
      <c r="E328" s="10"/>
      <c r="F328" s="9"/>
      <c r="G328" s="11" t="str">
        <f aca="false">IF(C328="","",IFERROR(INDEX(Catálogo!$B$5:$B$2000,MATCH(C328,Catálogo!$A$5:$A$2000,0)),""))</f>
        <v/>
      </c>
      <c r="H328" s="11" t="str">
        <f aca="false">IF(C328="","",IFERROR(INDEX(Catálogo!$C$5:$C$2000,MATCH(C328,Catálogo!$A$5:$A$2000,0)),""))</f>
        <v/>
      </c>
      <c r="I328" s="11" t="str">
        <f aca="false">IF(D328="","",IF(D328&gt;UmbralAlarma,"Alarmante",IF(D328&gt;=UmbralRegular,"Regular","Bueno")))</f>
        <v/>
      </c>
      <c r="J328" s="11" t="str">
        <f aca="true">IF(COUNTA(A328:F328)=0,"",IF(OR(A328="",B328="",C328="",D328=""),"Faltan datos",IF(G328="","AP no está en el catálogo",IF(A328&gt;TODAY()+1,"Fecha futura",IF(OR(D328&lt;0,D328&lt;&gt;INT(D328)),"Usuarios no válidos",IF(AND(E328&lt;&gt;"",OR(E328&lt;0,E328&gt;1)),"Utilización fuera de 0-100%",IF(COUNTIFS($A$5:$A$604,A328,$B$5:$B$604,B328,$C$5:$C$604,C328)&gt;1,"Fila duplicada","OK")))))))</f>
        <v/>
      </c>
      <c r="K328" s="9"/>
    </row>
    <row r="329" customFormat="false" ht="15" hidden="false" customHeight="false" outlineLevel="0" collapsed="false">
      <c r="A329" s="7"/>
      <c r="B329" s="8"/>
      <c r="C329" s="9"/>
      <c r="D329" s="20"/>
      <c r="E329" s="10"/>
      <c r="F329" s="9"/>
      <c r="G329" s="11" t="str">
        <f aca="false">IF(C329="","",IFERROR(INDEX(Catálogo!$B$5:$B$2000,MATCH(C329,Catálogo!$A$5:$A$2000,0)),""))</f>
        <v/>
      </c>
      <c r="H329" s="11" t="str">
        <f aca="false">IF(C329="","",IFERROR(INDEX(Catálogo!$C$5:$C$2000,MATCH(C329,Catálogo!$A$5:$A$2000,0)),""))</f>
        <v/>
      </c>
      <c r="I329" s="11" t="str">
        <f aca="false">IF(D329="","",IF(D329&gt;UmbralAlarma,"Alarmante",IF(D329&gt;=UmbralRegular,"Regular","Bueno")))</f>
        <v/>
      </c>
      <c r="J329" s="11" t="str">
        <f aca="true">IF(COUNTA(A329:F329)=0,"",IF(OR(A329="",B329="",C329="",D329=""),"Faltan datos",IF(G329="","AP no está en el catálogo",IF(A329&gt;TODAY()+1,"Fecha futura",IF(OR(D329&lt;0,D329&lt;&gt;INT(D329)),"Usuarios no válidos",IF(AND(E329&lt;&gt;"",OR(E329&lt;0,E329&gt;1)),"Utilización fuera de 0-100%",IF(COUNTIFS($A$5:$A$604,A329,$B$5:$B$604,B329,$C$5:$C$604,C329)&gt;1,"Fila duplicada","OK")))))))</f>
        <v/>
      </c>
      <c r="K329" s="9"/>
    </row>
    <row r="330" customFormat="false" ht="15" hidden="false" customHeight="false" outlineLevel="0" collapsed="false">
      <c r="A330" s="7"/>
      <c r="B330" s="8"/>
      <c r="C330" s="9"/>
      <c r="D330" s="20"/>
      <c r="E330" s="10"/>
      <c r="F330" s="9"/>
      <c r="G330" s="11" t="str">
        <f aca="false">IF(C330="","",IFERROR(INDEX(Catálogo!$B$5:$B$2000,MATCH(C330,Catálogo!$A$5:$A$2000,0)),""))</f>
        <v/>
      </c>
      <c r="H330" s="11" t="str">
        <f aca="false">IF(C330="","",IFERROR(INDEX(Catálogo!$C$5:$C$2000,MATCH(C330,Catálogo!$A$5:$A$2000,0)),""))</f>
        <v/>
      </c>
      <c r="I330" s="11" t="str">
        <f aca="false">IF(D330="","",IF(D330&gt;UmbralAlarma,"Alarmante",IF(D330&gt;=UmbralRegular,"Regular","Bueno")))</f>
        <v/>
      </c>
      <c r="J330" s="11" t="str">
        <f aca="true">IF(COUNTA(A330:F330)=0,"",IF(OR(A330="",B330="",C330="",D330=""),"Faltan datos",IF(G330="","AP no está en el catálogo",IF(A330&gt;TODAY()+1,"Fecha futura",IF(OR(D330&lt;0,D330&lt;&gt;INT(D330)),"Usuarios no válidos",IF(AND(E330&lt;&gt;"",OR(E330&lt;0,E330&gt;1)),"Utilización fuera de 0-100%",IF(COUNTIFS($A$5:$A$604,A330,$B$5:$B$604,B330,$C$5:$C$604,C330)&gt;1,"Fila duplicada","OK")))))))</f>
        <v/>
      </c>
      <c r="K330" s="9"/>
    </row>
    <row r="331" customFormat="false" ht="15" hidden="false" customHeight="false" outlineLevel="0" collapsed="false">
      <c r="A331" s="7"/>
      <c r="B331" s="8"/>
      <c r="C331" s="9"/>
      <c r="D331" s="20"/>
      <c r="E331" s="10"/>
      <c r="F331" s="9"/>
      <c r="G331" s="11" t="str">
        <f aca="false">IF(C331="","",IFERROR(INDEX(Catálogo!$B$5:$B$2000,MATCH(C331,Catálogo!$A$5:$A$2000,0)),""))</f>
        <v/>
      </c>
      <c r="H331" s="11" t="str">
        <f aca="false">IF(C331="","",IFERROR(INDEX(Catálogo!$C$5:$C$2000,MATCH(C331,Catálogo!$A$5:$A$2000,0)),""))</f>
        <v/>
      </c>
      <c r="I331" s="11" t="str">
        <f aca="false">IF(D331="","",IF(D331&gt;UmbralAlarma,"Alarmante",IF(D331&gt;=UmbralRegular,"Regular","Bueno")))</f>
        <v/>
      </c>
      <c r="J331" s="11" t="str">
        <f aca="true">IF(COUNTA(A331:F331)=0,"",IF(OR(A331="",B331="",C331="",D331=""),"Faltan datos",IF(G331="","AP no está en el catálogo",IF(A331&gt;TODAY()+1,"Fecha futura",IF(OR(D331&lt;0,D331&lt;&gt;INT(D331)),"Usuarios no válidos",IF(AND(E331&lt;&gt;"",OR(E331&lt;0,E331&gt;1)),"Utilización fuera de 0-100%",IF(COUNTIFS($A$5:$A$604,A331,$B$5:$B$604,B331,$C$5:$C$604,C331)&gt;1,"Fila duplicada","OK")))))))</f>
        <v/>
      </c>
      <c r="K331" s="9"/>
    </row>
    <row r="332" customFormat="false" ht="15" hidden="false" customHeight="false" outlineLevel="0" collapsed="false">
      <c r="A332" s="7"/>
      <c r="B332" s="8"/>
      <c r="C332" s="9"/>
      <c r="D332" s="20"/>
      <c r="E332" s="10"/>
      <c r="F332" s="9"/>
      <c r="G332" s="11" t="str">
        <f aca="false">IF(C332="","",IFERROR(INDEX(Catálogo!$B$5:$B$2000,MATCH(C332,Catálogo!$A$5:$A$2000,0)),""))</f>
        <v/>
      </c>
      <c r="H332" s="11" t="str">
        <f aca="false">IF(C332="","",IFERROR(INDEX(Catálogo!$C$5:$C$2000,MATCH(C332,Catálogo!$A$5:$A$2000,0)),""))</f>
        <v/>
      </c>
      <c r="I332" s="11" t="str">
        <f aca="false">IF(D332="","",IF(D332&gt;UmbralAlarma,"Alarmante",IF(D332&gt;=UmbralRegular,"Regular","Bueno")))</f>
        <v/>
      </c>
      <c r="J332" s="11" t="str">
        <f aca="true">IF(COUNTA(A332:F332)=0,"",IF(OR(A332="",B332="",C332="",D332=""),"Faltan datos",IF(G332="","AP no está en el catálogo",IF(A332&gt;TODAY()+1,"Fecha futura",IF(OR(D332&lt;0,D332&lt;&gt;INT(D332)),"Usuarios no válidos",IF(AND(E332&lt;&gt;"",OR(E332&lt;0,E332&gt;1)),"Utilización fuera de 0-100%",IF(COUNTIFS($A$5:$A$604,A332,$B$5:$B$604,B332,$C$5:$C$604,C332)&gt;1,"Fila duplicada","OK")))))))</f>
        <v/>
      </c>
      <c r="K332" s="9"/>
    </row>
    <row r="333" customFormat="false" ht="15" hidden="false" customHeight="false" outlineLevel="0" collapsed="false">
      <c r="A333" s="7"/>
      <c r="B333" s="8"/>
      <c r="C333" s="9"/>
      <c r="D333" s="20"/>
      <c r="E333" s="10"/>
      <c r="F333" s="9"/>
      <c r="G333" s="11" t="str">
        <f aca="false">IF(C333="","",IFERROR(INDEX(Catálogo!$B$5:$B$2000,MATCH(C333,Catálogo!$A$5:$A$2000,0)),""))</f>
        <v/>
      </c>
      <c r="H333" s="11" t="str">
        <f aca="false">IF(C333="","",IFERROR(INDEX(Catálogo!$C$5:$C$2000,MATCH(C333,Catálogo!$A$5:$A$2000,0)),""))</f>
        <v/>
      </c>
      <c r="I333" s="11" t="str">
        <f aca="false">IF(D333="","",IF(D333&gt;UmbralAlarma,"Alarmante",IF(D333&gt;=UmbralRegular,"Regular","Bueno")))</f>
        <v/>
      </c>
      <c r="J333" s="11" t="str">
        <f aca="true">IF(COUNTA(A333:F333)=0,"",IF(OR(A333="",B333="",C333="",D333=""),"Faltan datos",IF(G333="","AP no está en el catálogo",IF(A333&gt;TODAY()+1,"Fecha futura",IF(OR(D333&lt;0,D333&lt;&gt;INT(D333)),"Usuarios no válidos",IF(AND(E333&lt;&gt;"",OR(E333&lt;0,E333&gt;1)),"Utilización fuera de 0-100%",IF(COUNTIFS($A$5:$A$604,A333,$B$5:$B$604,B333,$C$5:$C$604,C333)&gt;1,"Fila duplicada","OK")))))))</f>
        <v/>
      </c>
      <c r="K333" s="9"/>
    </row>
    <row r="334" customFormat="false" ht="15" hidden="false" customHeight="false" outlineLevel="0" collapsed="false">
      <c r="A334" s="7"/>
      <c r="B334" s="8"/>
      <c r="C334" s="9"/>
      <c r="D334" s="20"/>
      <c r="E334" s="10"/>
      <c r="F334" s="9"/>
      <c r="G334" s="11" t="str">
        <f aca="false">IF(C334="","",IFERROR(INDEX(Catálogo!$B$5:$B$2000,MATCH(C334,Catálogo!$A$5:$A$2000,0)),""))</f>
        <v/>
      </c>
      <c r="H334" s="11" t="str">
        <f aca="false">IF(C334="","",IFERROR(INDEX(Catálogo!$C$5:$C$2000,MATCH(C334,Catálogo!$A$5:$A$2000,0)),""))</f>
        <v/>
      </c>
      <c r="I334" s="11" t="str">
        <f aca="false">IF(D334="","",IF(D334&gt;UmbralAlarma,"Alarmante",IF(D334&gt;=UmbralRegular,"Regular","Bueno")))</f>
        <v/>
      </c>
      <c r="J334" s="11" t="str">
        <f aca="true">IF(COUNTA(A334:F334)=0,"",IF(OR(A334="",B334="",C334="",D334=""),"Faltan datos",IF(G334="","AP no está en el catálogo",IF(A334&gt;TODAY()+1,"Fecha futura",IF(OR(D334&lt;0,D334&lt;&gt;INT(D334)),"Usuarios no válidos",IF(AND(E334&lt;&gt;"",OR(E334&lt;0,E334&gt;1)),"Utilización fuera de 0-100%",IF(COUNTIFS($A$5:$A$604,A334,$B$5:$B$604,B334,$C$5:$C$604,C334)&gt;1,"Fila duplicada","OK")))))))</f>
        <v/>
      </c>
      <c r="K334" s="9"/>
    </row>
    <row r="335" customFormat="false" ht="15" hidden="false" customHeight="false" outlineLevel="0" collapsed="false">
      <c r="A335" s="7"/>
      <c r="B335" s="8"/>
      <c r="C335" s="9"/>
      <c r="D335" s="20"/>
      <c r="E335" s="10"/>
      <c r="F335" s="9"/>
      <c r="G335" s="11" t="str">
        <f aca="false">IF(C335="","",IFERROR(INDEX(Catálogo!$B$5:$B$2000,MATCH(C335,Catálogo!$A$5:$A$2000,0)),""))</f>
        <v/>
      </c>
      <c r="H335" s="11" t="str">
        <f aca="false">IF(C335="","",IFERROR(INDEX(Catálogo!$C$5:$C$2000,MATCH(C335,Catálogo!$A$5:$A$2000,0)),""))</f>
        <v/>
      </c>
      <c r="I335" s="11" t="str">
        <f aca="false">IF(D335="","",IF(D335&gt;UmbralAlarma,"Alarmante",IF(D335&gt;=UmbralRegular,"Regular","Bueno")))</f>
        <v/>
      </c>
      <c r="J335" s="11" t="str">
        <f aca="true">IF(COUNTA(A335:F335)=0,"",IF(OR(A335="",B335="",C335="",D335=""),"Faltan datos",IF(G335="","AP no está en el catálogo",IF(A335&gt;TODAY()+1,"Fecha futura",IF(OR(D335&lt;0,D335&lt;&gt;INT(D335)),"Usuarios no válidos",IF(AND(E335&lt;&gt;"",OR(E335&lt;0,E335&gt;1)),"Utilización fuera de 0-100%",IF(COUNTIFS($A$5:$A$604,A335,$B$5:$B$604,B335,$C$5:$C$604,C335)&gt;1,"Fila duplicada","OK")))))))</f>
        <v/>
      </c>
      <c r="K335" s="9"/>
    </row>
    <row r="336" customFormat="false" ht="15" hidden="false" customHeight="false" outlineLevel="0" collapsed="false">
      <c r="A336" s="7"/>
      <c r="B336" s="8"/>
      <c r="C336" s="9"/>
      <c r="D336" s="20"/>
      <c r="E336" s="10"/>
      <c r="F336" s="9"/>
      <c r="G336" s="11" t="str">
        <f aca="false">IF(C336="","",IFERROR(INDEX(Catálogo!$B$5:$B$2000,MATCH(C336,Catálogo!$A$5:$A$2000,0)),""))</f>
        <v/>
      </c>
      <c r="H336" s="11" t="str">
        <f aca="false">IF(C336="","",IFERROR(INDEX(Catálogo!$C$5:$C$2000,MATCH(C336,Catálogo!$A$5:$A$2000,0)),""))</f>
        <v/>
      </c>
      <c r="I336" s="11" t="str">
        <f aca="false">IF(D336="","",IF(D336&gt;UmbralAlarma,"Alarmante",IF(D336&gt;=UmbralRegular,"Regular","Bueno")))</f>
        <v/>
      </c>
      <c r="J336" s="11" t="str">
        <f aca="true">IF(COUNTA(A336:F336)=0,"",IF(OR(A336="",B336="",C336="",D336=""),"Faltan datos",IF(G336="","AP no está en el catálogo",IF(A336&gt;TODAY()+1,"Fecha futura",IF(OR(D336&lt;0,D336&lt;&gt;INT(D336)),"Usuarios no válidos",IF(AND(E336&lt;&gt;"",OR(E336&lt;0,E336&gt;1)),"Utilización fuera de 0-100%",IF(COUNTIFS($A$5:$A$604,A336,$B$5:$B$604,B336,$C$5:$C$604,C336)&gt;1,"Fila duplicada","OK")))))))</f>
        <v/>
      </c>
      <c r="K336" s="9"/>
    </row>
    <row r="337" customFormat="false" ht="15" hidden="false" customHeight="false" outlineLevel="0" collapsed="false">
      <c r="A337" s="7"/>
      <c r="B337" s="8"/>
      <c r="C337" s="9"/>
      <c r="D337" s="20"/>
      <c r="E337" s="10"/>
      <c r="F337" s="9"/>
      <c r="G337" s="11" t="str">
        <f aca="false">IF(C337="","",IFERROR(INDEX(Catálogo!$B$5:$B$2000,MATCH(C337,Catálogo!$A$5:$A$2000,0)),""))</f>
        <v/>
      </c>
      <c r="H337" s="11" t="str">
        <f aca="false">IF(C337="","",IFERROR(INDEX(Catálogo!$C$5:$C$2000,MATCH(C337,Catálogo!$A$5:$A$2000,0)),""))</f>
        <v/>
      </c>
      <c r="I337" s="11" t="str">
        <f aca="false">IF(D337="","",IF(D337&gt;UmbralAlarma,"Alarmante",IF(D337&gt;=UmbralRegular,"Regular","Bueno")))</f>
        <v/>
      </c>
      <c r="J337" s="11" t="str">
        <f aca="true">IF(COUNTA(A337:F337)=0,"",IF(OR(A337="",B337="",C337="",D337=""),"Faltan datos",IF(G337="","AP no está en el catálogo",IF(A337&gt;TODAY()+1,"Fecha futura",IF(OR(D337&lt;0,D337&lt;&gt;INT(D337)),"Usuarios no válidos",IF(AND(E337&lt;&gt;"",OR(E337&lt;0,E337&gt;1)),"Utilización fuera de 0-100%",IF(COUNTIFS($A$5:$A$604,A337,$B$5:$B$604,B337,$C$5:$C$604,C337)&gt;1,"Fila duplicada","OK")))))))</f>
        <v/>
      </c>
      <c r="K337" s="9"/>
    </row>
    <row r="338" customFormat="false" ht="15" hidden="false" customHeight="false" outlineLevel="0" collapsed="false">
      <c r="A338" s="7"/>
      <c r="B338" s="8"/>
      <c r="C338" s="9"/>
      <c r="D338" s="20"/>
      <c r="E338" s="10"/>
      <c r="F338" s="9"/>
      <c r="G338" s="11" t="str">
        <f aca="false">IF(C338="","",IFERROR(INDEX(Catálogo!$B$5:$B$2000,MATCH(C338,Catálogo!$A$5:$A$2000,0)),""))</f>
        <v/>
      </c>
      <c r="H338" s="11" t="str">
        <f aca="false">IF(C338="","",IFERROR(INDEX(Catálogo!$C$5:$C$2000,MATCH(C338,Catálogo!$A$5:$A$2000,0)),""))</f>
        <v/>
      </c>
      <c r="I338" s="11" t="str">
        <f aca="false">IF(D338="","",IF(D338&gt;UmbralAlarma,"Alarmante",IF(D338&gt;=UmbralRegular,"Regular","Bueno")))</f>
        <v/>
      </c>
      <c r="J338" s="11" t="str">
        <f aca="true">IF(COUNTA(A338:F338)=0,"",IF(OR(A338="",B338="",C338="",D338=""),"Faltan datos",IF(G338="","AP no está en el catálogo",IF(A338&gt;TODAY()+1,"Fecha futura",IF(OR(D338&lt;0,D338&lt;&gt;INT(D338)),"Usuarios no válidos",IF(AND(E338&lt;&gt;"",OR(E338&lt;0,E338&gt;1)),"Utilización fuera de 0-100%",IF(COUNTIFS($A$5:$A$604,A338,$B$5:$B$604,B338,$C$5:$C$604,C338)&gt;1,"Fila duplicada","OK")))))))</f>
        <v/>
      </c>
      <c r="K338" s="9"/>
    </row>
    <row r="339" customFormat="false" ht="15" hidden="false" customHeight="false" outlineLevel="0" collapsed="false">
      <c r="A339" s="7"/>
      <c r="B339" s="8"/>
      <c r="C339" s="9"/>
      <c r="D339" s="20"/>
      <c r="E339" s="10"/>
      <c r="F339" s="9"/>
      <c r="G339" s="11" t="str">
        <f aca="false">IF(C339="","",IFERROR(INDEX(Catálogo!$B$5:$B$2000,MATCH(C339,Catálogo!$A$5:$A$2000,0)),""))</f>
        <v/>
      </c>
      <c r="H339" s="11" t="str">
        <f aca="false">IF(C339="","",IFERROR(INDEX(Catálogo!$C$5:$C$2000,MATCH(C339,Catálogo!$A$5:$A$2000,0)),""))</f>
        <v/>
      </c>
      <c r="I339" s="11" t="str">
        <f aca="false">IF(D339="","",IF(D339&gt;UmbralAlarma,"Alarmante",IF(D339&gt;=UmbralRegular,"Regular","Bueno")))</f>
        <v/>
      </c>
      <c r="J339" s="11" t="str">
        <f aca="true">IF(COUNTA(A339:F339)=0,"",IF(OR(A339="",B339="",C339="",D339=""),"Faltan datos",IF(G339="","AP no está en el catálogo",IF(A339&gt;TODAY()+1,"Fecha futura",IF(OR(D339&lt;0,D339&lt;&gt;INT(D339)),"Usuarios no válidos",IF(AND(E339&lt;&gt;"",OR(E339&lt;0,E339&gt;1)),"Utilización fuera de 0-100%",IF(COUNTIFS($A$5:$A$604,A339,$B$5:$B$604,B339,$C$5:$C$604,C339)&gt;1,"Fila duplicada","OK")))))))</f>
        <v/>
      </c>
      <c r="K339" s="9"/>
    </row>
    <row r="340" customFormat="false" ht="15" hidden="false" customHeight="false" outlineLevel="0" collapsed="false">
      <c r="A340" s="7"/>
      <c r="B340" s="8"/>
      <c r="C340" s="9"/>
      <c r="D340" s="20"/>
      <c r="E340" s="10"/>
      <c r="F340" s="9"/>
      <c r="G340" s="11" t="str">
        <f aca="false">IF(C340="","",IFERROR(INDEX(Catálogo!$B$5:$B$2000,MATCH(C340,Catálogo!$A$5:$A$2000,0)),""))</f>
        <v/>
      </c>
      <c r="H340" s="11" t="str">
        <f aca="false">IF(C340="","",IFERROR(INDEX(Catálogo!$C$5:$C$2000,MATCH(C340,Catálogo!$A$5:$A$2000,0)),""))</f>
        <v/>
      </c>
      <c r="I340" s="11" t="str">
        <f aca="false">IF(D340="","",IF(D340&gt;UmbralAlarma,"Alarmante",IF(D340&gt;=UmbralRegular,"Regular","Bueno")))</f>
        <v/>
      </c>
      <c r="J340" s="11" t="str">
        <f aca="true">IF(COUNTA(A340:F340)=0,"",IF(OR(A340="",B340="",C340="",D340=""),"Faltan datos",IF(G340="","AP no está en el catálogo",IF(A340&gt;TODAY()+1,"Fecha futura",IF(OR(D340&lt;0,D340&lt;&gt;INT(D340)),"Usuarios no válidos",IF(AND(E340&lt;&gt;"",OR(E340&lt;0,E340&gt;1)),"Utilización fuera de 0-100%",IF(COUNTIFS($A$5:$A$604,A340,$B$5:$B$604,B340,$C$5:$C$604,C340)&gt;1,"Fila duplicada","OK")))))))</f>
        <v/>
      </c>
      <c r="K340" s="9"/>
    </row>
    <row r="341" customFormat="false" ht="15" hidden="false" customHeight="false" outlineLevel="0" collapsed="false">
      <c r="A341" s="7"/>
      <c r="B341" s="8"/>
      <c r="C341" s="9"/>
      <c r="D341" s="20"/>
      <c r="E341" s="10"/>
      <c r="F341" s="9"/>
      <c r="G341" s="11" t="str">
        <f aca="false">IF(C341="","",IFERROR(INDEX(Catálogo!$B$5:$B$2000,MATCH(C341,Catálogo!$A$5:$A$2000,0)),""))</f>
        <v/>
      </c>
      <c r="H341" s="11" t="str">
        <f aca="false">IF(C341="","",IFERROR(INDEX(Catálogo!$C$5:$C$2000,MATCH(C341,Catálogo!$A$5:$A$2000,0)),""))</f>
        <v/>
      </c>
      <c r="I341" s="11" t="str">
        <f aca="false">IF(D341="","",IF(D341&gt;UmbralAlarma,"Alarmante",IF(D341&gt;=UmbralRegular,"Regular","Bueno")))</f>
        <v/>
      </c>
      <c r="J341" s="11" t="str">
        <f aca="true">IF(COUNTA(A341:F341)=0,"",IF(OR(A341="",B341="",C341="",D341=""),"Faltan datos",IF(G341="","AP no está en el catálogo",IF(A341&gt;TODAY()+1,"Fecha futura",IF(OR(D341&lt;0,D341&lt;&gt;INT(D341)),"Usuarios no válidos",IF(AND(E341&lt;&gt;"",OR(E341&lt;0,E341&gt;1)),"Utilización fuera de 0-100%",IF(COUNTIFS($A$5:$A$604,A341,$B$5:$B$604,B341,$C$5:$C$604,C341)&gt;1,"Fila duplicada","OK")))))))</f>
        <v/>
      </c>
      <c r="K341" s="9"/>
    </row>
    <row r="342" customFormat="false" ht="15" hidden="false" customHeight="false" outlineLevel="0" collapsed="false">
      <c r="A342" s="7"/>
      <c r="B342" s="8"/>
      <c r="C342" s="9"/>
      <c r="D342" s="20"/>
      <c r="E342" s="10"/>
      <c r="F342" s="9"/>
      <c r="G342" s="11" t="str">
        <f aca="false">IF(C342="","",IFERROR(INDEX(Catálogo!$B$5:$B$2000,MATCH(C342,Catálogo!$A$5:$A$2000,0)),""))</f>
        <v/>
      </c>
      <c r="H342" s="11" t="str">
        <f aca="false">IF(C342="","",IFERROR(INDEX(Catálogo!$C$5:$C$2000,MATCH(C342,Catálogo!$A$5:$A$2000,0)),""))</f>
        <v/>
      </c>
      <c r="I342" s="11" t="str">
        <f aca="false">IF(D342="","",IF(D342&gt;UmbralAlarma,"Alarmante",IF(D342&gt;=UmbralRegular,"Regular","Bueno")))</f>
        <v/>
      </c>
      <c r="J342" s="11" t="str">
        <f aca="true">IF(COUNTA(A342:F342)=0,"",IF(OR(A342="",B342="",C342="",D342=""),"Faltan datos",IF(G342="","AP no está en el catálogo",IF(A342&gt;TODAY()+1,"Fecha futura",IF(OR(D342&lt;0,D342&lt;&gt;INT(D342)),"Usuarios no válidos",IF(AND(E342&lt;&gt;"",OR(E342&lt;0,E342&gt;1)),"Utilización fuera de 0-100%",IF(COUNTIFS($A$5:$A$604,A342,$B$5:$B$604,B342,$C$5:$C$604,C342)&gt;1,"Fila duplicada","OK")))))))</f>
        <v/>
      </c>
      <c r="K342" s="9"/>
    </row>
    <row r="343" customFormat="false" ht="15" hidden="false" customHeight="false" outlineLevel="0" collapsed="false">
      <c r="A343" s="7"/>
      <c r="B343" s="8"/>
      <c r="C343" s="9"/>
      <c r="D343" s="20"/>
      <c r="E343" s="10"/>
      <c r="F343" s="9"/>
      <c r="G343" s="11" t="str">
        <f aca="false">IF(C343="","",IFERROR(INDEX(Catálogo!$B$5:$B$2000,MATCH(C343,Catálogo!$A$5:$A$2000,0)),""))</f>
        <v/>
      </c>
      <c r="H343" s="11" t="str">
        <f aca="false">IF(C343="","",IFERROR(INDEX(Catálogo!$C$5:$C$2000,MATCH(C343,Catálogo!$A$5:$A$2000,0)),""))</f>
        <v/>
      </c>
      <c r="I343" s="11" t="str">
        <f aca="false">IF(D343="","",IF(D343&gt;UmbralAlarma,"Alarmante",IF(D343&gt;=UmbralRegular,"Regular","Bueno")))</f>
        <v/>
      </c>
      <c r="J343" s="11" t="str">
        <f aca="true">IF(COUNTA(A343:F343)=0,"",IF(OR(A343="",B343="",C343="",D343=""),"Faltan datos",IF(G343="","AP no está en el catálogo",IF(A343&gt;TODAY()+1,"Fecha futura",IF(OR(D343&lt;0,D343&lt;&gt;INT(D343)),"Usuarios no válidos",IF(AND(E343&lt;&gt;"",OR(E343&lt;0,E343&gt;1)),"Utilización fuera de 0-100%",IF(COUNTIFS($A$5:$A$604,A343,$B$5:$B$604,B343,$C$5:$C$604,C343)&gt;1,"Fila duplicada","OK")))))))</f>
        <v/>
      </c>
      <c r="K343" s="9"/>
    </row>
    <row r="344" customFormat="false" ht="15" hidden="false" customHeight="false" outlineLevel="0" collapsed="false">
      <c r="A344" s="7"/>
      <c r="B344" s="8"/>
      <c r="C344" s="9"/>
      <c r="D344" s="20"/>
      <c r="E344" s="10"/>
      <c r="F344" s="9"/>
      <c r="G344" s="11" t="str">
        <f aca="false">IF(C344="","",IFERROR(INDEX(Catálogo!$B$5:$B$2000,MATCH(C344,Catálogo!$A$5:$A$2000,0)),""))</f>
        <v/>
      </c>
      <c r="H344" s="11" t="str">
        <f aca="false">IF(C344="","",IFERROR(INDEX(Catálogo!$C$5:$C$2000,MATCH(C344,Catálogo!$A$5:$A$2000,0)),""))</f>
        <v/>
      </c>
      <c r="I344" s="11" t="str">
        <f aca="false">IF(D344="","",IF(D344&gt;UmbralAlarma,"Alarmante",IF(D344&gt;=UmbralRegular,"Regular","Bueno")))</f>
        <v/>
      </c>
      <c r="J344" s="11" t="str">
        <f aca="true">IF(COUNTA(A344:F344)=0,"",IF(OR(A344="",B344="",C344="",D344=""),"Faltan datos",IF(G344="","AP no está en el catálogo",IF(A344&gt;TODAY()+1,"Fecha futura",IF(OR(D344&lt;0,D344&lt;&gt;INT(D344)),"Usuarios no válidos",IF(AND(E344&lt;&gt;"",OR(E344&lt;0,E344&gt;1)),"Utilización fuera de 0-100%",IF(COUNTIFS($A$5:$A$604,A344,$B$5:$B$604,B344,$C$5:$C$604,C344)&gt;1,"Fila duplicada","OK")))))))</f>
        <v/>
      </c>
      <c r="K344" s="9"/>
    </row>
    <row r="345" customFormat="false" ht="15" hidden="false" customHeight="false" outlineLevel="0" collapsed="false">
      <c r="A345" s="7"/>
      <c r="B345" s="8"/>
      <c r="C345" s="9"/>
      <c r="D345" s="20"/>
      <c r="E345" s="10"/>
      <c r="F345" s="9"/>
      <c r="G345" s="11" t="str">
        <f aca="false">IF(C345="","",IFERROR(INDEX(Catálogo!$B$5:$B$2000,MATCH(C345,Catálogo!$A$5:$A$2000,0)),""))</f>
        <v/>
      </c>
      <c r="H345" s="11" t="str">
        <f aca="false">IF(C345="","",IFERROR(INDEX(Catálogo!$C$5:$C$2000,MATCH(C345,Catálogo!$A$5:$A$2000,0)),""))</f>
        <v/>
      </c>
      <c r="I345" s="11" t="str">
        <f aca="false">IF(D345="","",IF(D345&gt;UmbralAlarma,"Alarmante",IF(D345&gt;=UmbralRegular,"Regular","Bueno")))</f>
        <v/>
      </c>
      <c r="J345" s="11" t="str">
        <f aca="true">IF(COUNTA(A345:F345)=0,"",IF(OR(A345="",B345="",C345="",D345=""),"Faltan datos",IF(G345="","AP no está en el catálogo",IF(A345&gt;TODAY()+1,"Fecha futura",IF(OR(D345&lt;0,D345&lt;&gt;INT(D345)),"Usuarios no válidos",IF(AND(E345&lt;&gt;"",OR(E345&lt;0,E345&gt;1)),"Utilización fuera de 0-100%",IF(COUNTIFS($A$5:$A$604,A345,$B$5:$B$604,B345,$C$5:$C$604,C345)&gt;1,"Fila duplicada","OK")))))))</f>
        <v/>
      </c>
      <c r="K345" s="9"/>
    </row>
    <row r="346" customFormat="false" ht="15" hidden="false" customHeight="false" outlineLevel="0" collapsed="false">
      <c r="A346" s="7"/>
      <c r="B346" s="8"/>
      <c r="C346" s="9"/>
      <c r="D346" s="20"/>
      <c r="E346" s="10"/>
      <c r="F346" s="9"/>
      <c r="G346" s="11" t="str">
        <f aca="false">IF(C346="","",IFERROR(INDEX(Catálogo!$B$5:$B$2000,MATCH(C346,Catálogo!$A$5:$A$2000,0)),""))</f>
        <v/>
      </c>
      <c r="H346" s="11" t="str">
        <f aca="false">IF(C346="","",IFERROR(INDEX(Catálogo!$C$5:$C$2000,MATCH(C346,Catálogo!$A$5:$A$2000,0)),""))</f>
        <v/>
      </c>
      <c r="I346" s="11" t="str">
        <f aca="false">IF(D346="","",IF(D346&gt;UmbralAlarma,"Alarmante",IF(D346&gt;=UmbralRegular,"Regular","Bueno")))</f>
        <v/>
      </c>
      <c r="J346" s="11" t="str">
        <f aca="true">IF(COUNTA(A346:F346)=0,"",IF(OR(A346="",B346="",C346="",D346=""),"Faltan datos",IF(G346="","AP no está en el catálogo",IF(A346&gt;TODAY()+1,"Fecha futura",IF(OR(D346&lt;0,D346&lt;&gt;INT(D346)),"Usuarios no válidos",IF(AND(E346&lt;&gt;"",OR(E346&lt;0,E346&gt;1)),"Utilización fuera de 0-100%",IF(COUNTIFS($A$5:$A$604,A346,$B$5:$B$604,B346,$C$5:$C$604,C346)&gt;1,"Fila duplicada","OK")))))))</f>
        <v/>
      </c>
      <c r="K346" s="9"/>
    </row>
    <row r="347" customFormat="false" ht="15" hidden="false" customHeight="false" outlineLevel="0" collapsed="false">
      <c r="A347" s="7"/>
      <c r="B347" s="8"/>
      <c r="C347" s="9"/>
      <c r="D347" s="20"/>
      <c r="E347" s="10"/>
      <c r="F347" s="9"/>
      <c r="G347" s="11" t="str">
        <f aca="false">IF(C347="","",IFERROR(INDEX(Catálogo!$B$5:$B$2000,MATCH(C347,Catálogo!$A$5:$A$2000,0)),""))</f>
        <v/>
      </c>
      <c r="H347" s="11" t="str">
        <f aca="false">IF(C347="","",IFERROR(INDEX(Catálogo!$C$5:$C$2000,MATCH(C347,Catálogo!$A$5:$A$2000,0)),""))</f>
        <v/>
      </c>
      <c r="I347" s="11" t="str">
        <f aca="false">IF(D347="","",IF(D347&gt;UmbralAlarma,"Alarmante",IF(D347&gt;=UmbralRegular,"Regular","Bueno")))</f>
        <v/>
      </c>
      <c r="J347" s="11" t="str">
        <f aca="true">IF(COUNTA(A347:F347)=0,"",IF(OR(A347="",B347="",C347="",D347=""),"Faltan datos",IF(G347="","AP no está en el catálogo",IF(A347&gt;TODAY()+1,"Fecha futura",IF(OR(D347&lt;0,D347&lt;&gt;INT(D347)),"Usuarios no válidos",IF(AND(E347&lt;&gt;"",OR(E347&lt;0,E347&gt;1)),"Utilización fuera de 0-100%",IF(COUNTIFS($A$5:$A$604,A347,$B$5:$B$604,B347,$C$5:$C$604,C347)&gt;1,"Fila duplicada","OK")))))))</f>
        <v/>
      </c>
      <c r="K347" s="9"/>
    </row>
    <row r="348" customFormat="false" ht="15" hidden="false" customHeight="false" outlineLevel="0" collapsed="false">
      <c r="A348" s="7"/>
      <c r="B348" s="8"/>
      <c r="C348" s="9"/>
      <c r="D348" s="20"/>
      <c r="E348" s="10"/>
      <c r="F348" s="9"/>
      <c r="G348" s="11" t="str">
        <f aca="false">IF(C348="","",IFERROR(INDEX(Catálogo!$B$5:$B$2000,MATCH(C348,Catálogo!$A$5:$A$2000,0)),""))</f>
        <v/>
      </c>
      <c r="H348" s="11" t="str">
        <f aca="false">IF(C348="","",IFERROR(INDEX(Catálogo!$C$5:$C$2000,MATCH(C348,Catálogo!$A$5:$A$2000,0)),""))</f>
        <v/>
      </c>
      <c r="I348" s="11" t="str">
        <f aca="false">IF(D348="","",IF(D348&gt;UmbralAlarma,"Alarmante",IF(D348&gt;=UmbralRegular,"Regular","Bueno")))</f>
        <v/>
      </c>
      <c r="J348" s="11" t="str">
        <f aca="true">IF(COUNTA(A348:F348)=0,"",IF(OR(A348="",B348="",C348="",D348=""),"Faltan datos",IF(G348="","AP no está en el catálogo",IF(A348&gt;TODAY()+1,"Fecha futura",IF(OR(D348&lt;0,D348&lt;&gt;INT(D348)),"Usuarios no válidos",IF(AND(E348&lt;&gt;"",OR(E348&lt;0,E348&gt;1)),"Utilización fuera de 0-100%",IF(COUNTIFS($A$5:$A$604,A348,$B$5:$B$604,B348,$C$5:$C$604,C348)&gt;1,"Fila duplicada","OK")))))))</f>
        <v/>
      </c>
      <c r="K348" s="9"/>
    </row>
    <row r="349" customFormat="false" ht="15" hidden="false" customHeight="false" outlineLevel="0" collapsed="false">
      <c r="A349" s="7"/>
      <c r="B349" s="8"/>
      <c r="C349" s="9"/>
      <c r="D349" s="20"/>
      <c r="E349" s="10"/>
      <c r="F349" s="9"/>
      <c r="G349" s="11" t="str">
        <f aca="false">IF(C349="","",IFERROR(INDEX(Catálogo!$B$5:$B$2000,MATCH(C349,Catálogo!$A$5:$A$2000,0)),""))</f>
        <v/>
      </c>
      <c r="H349" s="11" t="str">
        <f aca="false">IF(C349="","",IFERROR(INDEX(Catálogo!$C$5:$C$2000,MATCH(C349,Catálogo!$A$5:$A$2000,0)),""))</f>
        <v/>
      </c>
      <c r="I349" s="11" t="str">
        <f aca="false">IF(D349="","",IF(D349&gt;UmbralAlarma,"Alarmante",IF(D349&gt;=UmbralRegular,"Regular","Bueno")))</f>
        <v/>
      </c>
      <c r="J349" s="11" t="str">
        <f aca="true">IF(COUNTA(A349:F349)=0,"",IF(OR(A349="",B349="",C349="",D349=""),"Faltan datos",IF(G349="","AP no está en el catálogo",IF(A349&gt;TODAY()+1,"Fecha futura",IF(OR(D349&lt;0,D349&lt;&gt;INT(D349)),"Usuarios no válidos",IF(AND(E349&lt;&gt;"",OR(E349&lt;0,E349&gt;1)),"Utilización fuera de 0-100%",IF(COUNTIFS($A$5:$A$604,A349,$B$5:$B$604,B349,$C$5:$C$604,C349)&gt;1,"Fila duplicada","OK")))))))</f>
        <v/>
      </c>
      <c r="K349" s="9"/>
    </row>
    <row r="350" customFormat="false" ht="15" hidden="false" customHeight="false" outlineLevel="0" collapsed="false">
      <c r="A350" s="7"/>
      <c r="B350" s="8"/>
      <c r="C350" s="9"/>
      <c r="D350" s="20"/>
      <c r="E350" s="10"/>
      <c r="F350" s="9"/>
      <c r="G350" s="11" t="str">
        <f aca="false">IF(C350="","",IFERROR(INDEX(Catálogo!$B$5:$B$2000,MATCH(C350,Catálogo!$A$5:$A$2000,0)),""))</f>
        <v/>
      </c>
      <c r="H350" s="11" t="str">
        <f aca="false">IF(C350="","",IFERROR(INDEX(Catálogo!$C$5:$C$2000,MATCH(C350,Catálogo!$A$5:$A$2000,0)),""))</f>
        <v/>
      </c>
      <c r="I350" s="11" t="str">
        <f aca="false">IF(D350="","",IF(D350&gt;UmbralAlarma,"Alarmante",IF(D350&gt;=UmbralRegular,"Regular","Bueno")))</f>
        <v/>
      </c>
      <c r="J350" s="11" t="str">
        <f aca="true">IF(COUNTA(A350:F350)=0,"",IF(OR(A350="",B350="",C350="",D350=""),"Faltan datos",IF(G350="","AP no está en el catálogo",IF(A350&gt;TODAY()+1,"Fecha futura",IF(OR(D350&lt;0,D350&lt;&gt;INT(D350)),"Usuarios no válidos",IF(AND(E350&lt;&gt;"",OR(E350&lt;0,E350&gt;1)),"Utilización fuera de 0-100%",IF(COUNTIFS($A$5:$A$604,A350,$B$5:$B$604,B350,$C$5:$C$604,C350)&gt;1,"Fila duplicada","OK")))))))</f>
        <v/>
      </c>
      <c r="K350" s="9"/>
    </row>
    <row r="351" customFormat="false" ht="15" hidden="false" customHeight="false" outlineLevel="0" collapsed="false">
      <c r="A351" s="7"/>
      <c r="B351" s="8"/>
      <c r="C351" s="9"/>
      <c r="D351" s="20"/>
      <c r="E351" s="10"/>
      <c r="F351" s="9"/>
      <c r="G351" s="11" t="str">
        <f aca="false">IF(C351="","",IFERROR(INDEX(Catálogo!$B$5:$B$2000,MATCH(C351,Catálogo!$A$5:$A$2000,0)),""))</f>
        <v/>
      </c>
      <c r="H351" s="11" t="str">
        <f aca="false">IF(C351="","",IFERROR(INDEX(Catálogo!$C$5:$C$2000,MATCH(C351,Catálogo!$A$5:$A$2000,0)),""))</f>
        <v/>
      </c>
      <c r="I351" s="11" t="str">
        <f aca="false">IF(D351="","",IF(D351&gt;UmbralAlarma,"Alarmante",IF(D351&gt;=UmbralRegular,"Regular","Bueno")))</f>
        <v/>
      </c>
      <c r="J351" s="11" t="str">
        <f aca="true">IF(COUNTA(A351:F351)=0,"",IF(OR(A351="",B351="",C351="",D351=""),"Faltan datos",IF(G351="","AP no está en el catálogo",IF(A351&gt;TODAY()+1,"Fecha futura",IF(OR(D351&lt;0,D351&lt;&gt;INT(D351)),"Usuarios no válidos",IF(AND(E351&lt;&gt;"",OR(E351&lt;0,E351&gt;1)),"Utilización fuera de 0-100%",IF(COUNTIFS($A$5:$A$604,A351,$B$5:$B$604,B351,$C$5:$C$604,C351)&gt;1,"Fila duplicada","OK")))))))</f>
        <v/>
      </c>
      <c r="K351" s="9"/>
    </row>
    <row r="352" customFormat="false" ht="15" hidden="false" customHeight="false" outlineLevel="0" collapsed="false">
      <c r="A352" s="7"/>
      <c r="B352" s="8"/>
      <c r="C352" s="9"/>
      <c r="D352" s="20"/>
      <c r="E352" s="10"/>
      <c r="F352" s="9"/>
      <c r="G352" s="11" t="str">
        <f aca="false">IF(C352="","",IFERROR(INDEX(Catálogo!$B$5:$B$2000,MATCH(C352,Catálogo!$A$5:$A$2000,0)),""))</f>
        <v/>
      </c>
      <c r="H352" s="11" t="str">
        <f aca="false">IF(C352="","",IFERROR(INDEX(Catálogo!$C$5:$C$2000,MATCH(C352,Catálogo!$A$5:$A$2000,0)),""))</f>
        <v/>
      </c>
      <c r="I352" s="11" t="str">
        <f aca="false">IF(D352="","",IF(D352&gt;UmbralAlarma,"Alarmante",IF(D352&gt;=UmbralRegular,"Regular","Bueno")))</f>
        <v/>
      </c>
      <c r="J352" s="11" t="str">
        <f aca="true">IF(COUNTA(A352:F352)=0,"",IF(OR(A352="",B352="",C352="",D352=""),"Faltan datos",IF(G352="","AP no está en el catálogo",IF(A352&gt;TODAY()+1,"Fecha futura",IF(OR(D352&lt;0,D352&lt;&gt;INT(D352)),"Usuarios no válidos",IF(AND(E352&lt;&gt;"",OR(E352&lt;0,E352&gt;1)),"Utilización fuera de 0-100%",IF(COUNTIFS($A$5:$A$604,A352,$B$5:$B$604,B352,$C$5:$C$604,C352)&gt;1,"Fila duplicada","OK")))))))</f>
        <v/>
      </c>
      <c r="K352" s="9"/>
    </row>
    <row r="353" customFormat="false" ht="15" hidden="false" customHeight="false" outlineLevel="0" collapsed="false">
      <c r="A353" s="7"/>
      <c r="B353" s="8"/>
      <c r="C353" s="9"/>
      <c r="D353" s="20"/>
      <c r="E353" s="10"/>
      <c r="F353" s="9"/>
      <c r="G353" s="11" t="str">
        <f aca="false">IF(C353="","",IFERROR(INDEX(Catálogo!$B$5:$B$2000,MATCH(C353,Catálogo!$A$5:$A$2000,0)),""))</f>
        <v/>
      </c>
      <c r="H353" s="11" t="str">
        <f aca="false">IF(C353="","",IFERROR(INDEX(Catálogo!$C$5:$C$2000,MATCH(C353,Catálogo!$A$5:$A$2000,0)),""))</f>
        <v/>
      </c>
      <c r="I353" s="11" t="str">
        <f aca="false">IF(D353="","",IF(D353&gt;UmbralAlarma,"Alarmante",IF(D353&gt;=UmbralRegular,"Regular","Bueno")))</f>
        <v/>
      </c>
      <c r="J353" s="11" t="str">
        <f aca="true">IF(COUNTA(A353:F353)=0,"",IF(OR(A353="",B353="",C353="",D353=""),"Faltan datos",IF(G353="","AP no está en el catálogo",IF(A353&gt;TODAY()+1,"Fecha futura",IF(OR(D353&lt;0,D353&lt;&gt;INT(D353)),"Usuarios no válidos",IF(AND(E353&lt;&gt;"",OR(E353&lt;0,E353&gt;1)),"Utilización fuera de 0-100%",IF(COUNTIFS($A$5:$A$604,A353,$B$5:$B$604,B353,$C$5:$C$604,C353)&gt;1,"Fila duplicada","OK")))))))</f>
        <v/>
      </c>
      <c r="K353" s="9"/>
    </row>
    <row r="354" customFormat="false" ht="15" hidden="false" customHeight="false" outlineLevel="0" collapsed="false">
      <c r="A354" s="7"/>
      <c r="B354" s="8"/>
      <c r="C354" s="9"/>
      <c r="D354" s="20"/>
      <c r="E354" s="10"/>
      <c r="F354" s="9"/>
      <c r="G354" s="11" t="str">
        <f aca="false">IF(C354="","",IFERROR(INDEX(Catálogo!$B$5:$B$2000,MATCH(C354,Catálogo!$A$5:$A$2000,0)),""))</f>
        <v/>
      </c>
      <c r="H354" s="11" t="str">
        <f aca="false">IF(C354="","",IFERROR(INDEX(Catálogo!$C$5:$C$2000,MATCH(C354,Catálogo!$A$5:$A$2000,0)),""))</f>
        <v/>
      </c>
      <c r="I354" s="11" t="str">
        <f aca="false">IF(D354="","",IF(D354&gt;UmbralAlarma,"Alarmante",IF(D354&gt;=UmbralRegular,"Regular","Bueno")))</f>
        <v/>
      </c>
      <c r="J354" s="11" t="str">
        <f aca="true">IF(COUNTA(A354:F354)=0,"",IF(OR(A354="",B354="",C354="",D354=""),"Faltan datos",IF(G354="","AP no está en el catálogo",IF(A354&gt;TODAY()+1,"Fecha futura",IF(OR(D354&lt;0,D354&lt;&gt;INT(D354)),"Usuarios no válidos",IF(AND(E354&lt;&gt;"",OR(E354&lt;0,E354&gt;1)),"Utilización fuera de 0-100%",IF(COUNTIFS($A$5:$A$604,A354,$B$5:$B$604,B354,$C$5:$C$604,C354)&gt;1,"Fila duplicada","OK")))))))</f>
        <v/>
      </c>
      <c r="K354" s="9"/>
    </row>
    <row r="355" customFormat="false" ht="15" hidden="false" customHeight="false" outlineLevel="0" collapsed="false">
      <c r="A355" s="7"/>
      <c r="B355" s="8"/>
      <c r="C355" s="9"/>
      <c r="D355" s="20"/>
      <c r="E355" s="10"/>
      <c r="F355" s="9"/>
      <c r="G355" s="11" t="str">
        <f aca="false">IF(C355="","",IFERROR(INDEX(Catálogo!$B$5:$B$2000,MATCH(C355,Catálogo!$A$5:$A$2000,0)),""))</f>
        <v/>
      </c>
      <c r="H355" s="11" t="str">
        <f aca="false">IF(C355="","",IFERROR(INDEX(Catálogo!$C$5:$C$2000,MATCH(C355,Catálogo!$A$5:$A$2000,0)),""))</f>
        <v/>
      </c>
      <c r="I355" s="11" t="str">
        <f aca="false">IF(D355="","",IF(D355&gt;UmbralAlarma,"Alarmante",IF(D355&gt;=UmbralRegular,"Regular","Bueno")))</f>
        <v/>
      </c>
      <c r="J355" s="11" t="str">
        <f aca="true">IF(COUNTA(A355:F355)=0,"",IF(OR(A355="",B355="",C355="",D355=""),"Faltan datos",IF(G355="","AP no está en el catálogo",IF(A355&gt;TODAY()+1,"Fecha futura",IF(OR(D355&lt;0,D355&lt;&gt;INT(D355)),"Usuarios no válidos",IF(AND(E355&lt;&gt;"",OR(E355&lt;0,E355&gt;1)),"Utilización fuera de 0-100%",IF(COUNTIFS($A$5:$A$604,A355,$B$5:$B$604,B355,$C$5:$C$604,C355)&gt;1,"Fila duplicada","OK")))))))</f>
        <v/>
      </c>
      <c r="K355" s="9"/>
    </row>
    <row r="356" customFormat="false" ht="15" hidden="false" customHeight="false" outlineLevel="0" collapsed="false">
      <c r="A356" s="7"/>
      <c r="B356" s="8"/>
      <c r="C356" s="9"/>
      <c r="D356" s="20"/>
      <c r="E356" s="10"/>
      <c r="F356" s="9"/>
      <c r="G356" s="11" t="str">
        <f aca="false">IF(C356="","",IFERROR(INDEX(Catálogo!$B$5:$B$2000,MATCH(C356,Catálogo!$A$5:$A$2000,0)),""))</f>
        <v/>
      </c>
      <c r="H356" s="11" t="str">
        <f aca="false">IF(C356="","",IFERROR(INDEX(Catálogo!$C$5:$C$2000,MATCH(C356,Catálogo!$A$5:$A$2000,0)),""))</f>
        <v/>
      </c>
      <c r="I356" s="11" t="str">
        <f aca="false">IF(D356="","",IF(D356&gt;UmbralAlarma,"Alarmante",IF(D356&gt;=UmbralRegular,"Regular","Bueno")))</f>
        <v/>
      </c>
      <c r="J356" s="11" t="str">
        <f aca="true">IF(COUNTA(A356:F356)=0,"",IF(OR(A356="",B356="",C356="",D356=""),"Faltan datos",IF(G356="","AP no está en el catálogo",IF(A356&gt;TODAY()+1,"Fecha futura",IF(OR(D356&lt;0,D356&lt;&gt;INT(D356)),"Usuarios no válidos",IF(AND(E356&lt;&gt;"",OR(E356&lt;0,E356&gt;1)),"Utilización fuera de 0-100%",IF(COUNTIFS($A$5:$A$604,A356,$B$5:$B$604,B356,$C$5:$C$604,C356)&gt;1,"Fila duplicada","OK")))))))</f>
        <v/>
      </c>
      <c r="K356" s="9"/>
    </row>
    <row r="357" customFormat="false" ht="15" hidden="false" customHeight="false" outlineLevel="0" collapsed="false">
      <c r="A357" s="7"/>
      <c r="B357" s="8"/>
      <c r="C357" s="9"/>
      <c r="D357" s="20"/>
      <c r="E357" s="10"/>
      <c r="F357" s="9"/>
      <c r="G357" s="11" t="str">
        <f aca="false">IF(C357="","",IFERROR(INDEX(Catálogo!$B$5:$B$2000,MATCH(C357,Catálogo!$A$5:$A$2000,0)),""))</f>
        <v/>
      </c>
      <c r="H357" s="11" t="str">
        <f aca="false">IF(C357="","",IFERROR(INDEX(Catálogo!$C$5:$C$2000,MATCH(C357,Catálogo!$A$5:$A$2000,0)),""))</f>
        <v/>
      </c>
      <c r="I357" s="11" t="str">
        <f aca="false">IF(D357="","",IF(D357&gt;UmbralAlarma,"Alarmante",IF(D357&gt;=UmbralRegular,"Regular","Bueno")))</f>
        <v/>
      </c>
      <c r="J357" s="11" t="str">
        <f aca="true">IF(COUNTA(A357:F357)=0,"",IF(OR(A357="",B357="",C357="",D357=""),"Faltan datos",IF(G357="","AP no está en el catálogo",IF(A357&gt;TODAY()+1,"Fecha futura",IF(OR(D357&lt;0,D357&lt;&gt;INT(D357)),"Usuarios no válidos",IF(AND(E357&lt;&gt;"",OR(E357&lt;0,E357&gt;1)),"Utilización fuera de 0-100%",IF(COUNTIFS($A$5:$A$604,A357,$B$5:$B$604,B357,$C$5:$C$604,C357)&gt;1,"Fila duplicada","OK")))))))</f>
        <v/>
      </c>
      <c r="K357" s="9"/>
    </row>
    <row r="358" customFormat="false" ht="15" hidden="false" customHeight="false" outlineLevel="0" collapsed="false">
      <c r="A358" s="7"/>
      <c r="B358" s="8"/>
      <c r="C358" s="9"/>
      <c r="D358" s="20"/>
      <c r="E358" s="10"/>
      <c r="F358" s="9"/>
      <c r="G358" s="11" t="str">
        <f aca="false">IF(C358="","",IFERROR(INDEX(Catálogo!$B$5:$B$2000,MATCH(C358,Catálogo!$A$5:$A$2000,0)),""))</f>
        <v/>
      </c>
      <c r="H358" s="11" t="str">
        <f aca="false">IF(C358="","",IFERROR(INDEX(Catálogo!$C$5:$C$2000,MATCH(C358,Catálogo!$A$5:$A$2000,0)),""))</f>
        <v/>
      </c>
      <c r="I358" s="11" t="str">
        <f aca="false">IF(D358="","",IF(D358&gt;UmbralAlarma,"Alarmante",IF(D358&gt;=UmbralRegular,"Regular","Bueno")))</f>
        <v/>
      </c>
      <c r="J358" s="11" t="str">
        <f aca="true">IF(COUNTA(A358:F358)=0,"",IF(OR(A358="",B358="",C358="",D358=""),"Faltan datos",IF(G358="","AP no está en el catálogo",IF(A358&gt;TODAY()+1,"Fecha futura",IF(OR(D358&lt;0,D358&lt;&gt;INT(D358)),"Usuarios no válidos",IF(AND(E358&lt;&gt;"",OR(E358&lt;0,E358&gt;1)),"Utilización fuera de 0-100%",IF(COUNTIFS($A$5:$A$604,A358,$B$5:$B$604,B358,$C$5:$C$604,C358)&gt;1,"Fila duplicada","OK")))))))</f>
        <v/>
      </c>
      <c r="K358" s="9"/>
    </row>
    <row r="359" customFormat="false" ht="15" hidden="false" customHeight="false" outlineLevel="0" collapsed="false">
      <c r="A359" s="7"/>
      <c r="B359" s="8"/>
      <c r="C359" s="9"/>
      <c r="D359" s="20"/>
      <c r="E359" s="10"/>
      <c r="F359" s="9"/>
      <c r="G359" s="11" t="str">
        <f aca="false">IF(C359="","",IFERROR(INDEX(Catálogo!$B$5:$B$2000,MATCH(C359,Catálogo!$A$5:$A$2000,0)),""))</f>
        <v/>
      </c>
      <c r="H359" s="11" t="str">
        <f aca="false">IF(C359="","",IFERROR(INDEX(Catálogo!$C$5:$C$2000,MATCH(C359,Catálogo!$A$5:$A$2000,0)),""))</f>
        <v/>
      </c>
      <c r="I359" s="11" t="str">
        <f aca="false">IF(D359="","",IF(D359&gt;UmbralAlarma,"Alarmante",IF(D359&gt;=UmbralRegular,"Regular","Bueno")))</f>
        <v/>
      </c>
      <c r="J359" s="11" t="str">
        <f aca="true">IF(COUNTA(A359:F359)=0,"",IF(OR(A359="",B359="",C359="",D359=""),"Faltan datos",IF(G359="","AP no está en el catálogo",IF(A359&gt;TODAY()+1,"Fecha futura",IF(OR(D359&lt;0,D359&lt;&gt;INT(D359)),"Usuarios no válidos",IF(AND(E359&lt;&gt;"",OR(E359&lt;0,E359&gt;1)),"Utilización fuera de 0-100%",IF(COUNTIFS($A$5:$A$604,A359,$B$5:$B$604,B359,$C$5:$C$604,C359)&gt;1,"Fila duplicada","OK")))))))</f>
        <v/>
      </c>
      <c r="K359" s="9"/>
    </row>
    <row r="360" customFormat="false" ht="15" hidden="false" customHeight="false" outlineLevel="0" collapsed="false">
      <c r="A360" s="7"/>
      <c r="B360" s="8"/>
      <c r="C360" s="9"/>
      <c r="D360" s="20"/>
      <c r="E360" s="10"/>
      <c r="F360" s="9"/>
      <c r="G360" s="11" t="str">
        <f aca="false">IF(C360="","",IFERROR(INDEX(Catálogo!$B$5:$B$2000,MATCH(C360,Catálogo!$A$5:$A$2000,0)),""))</f>
        <v/>
      </c>
      <c r="H360" s="11" t="str">
        <f aca="false">IF(C360="","",IFERROR(INDEX(Catálogo!$C$5:$C$2000,MATCH(C360,Catálogo!$A$5:$A$2000,0)),""))</f>
        <v/>
      </c>
      <c r="I360" s="11" t="str">
        <f aca="false">IF(D360="","",IF(D360&gt;UmbralAlarma,"Alarmante",IF(D360&gt;=UmbralRegular,"Regular","Bueno")))</f>
        <v/>
      </c>
      <c r="J360" s="11" t="str">
        <f aca="true">IF(COUNTA(A360:F360)=0,"",IF(OR(A360="",B360="",C360="",D360=""),"Faltan datos",IF(G360="","AP no está en el catálogo",IF(A360&gt;TODAY()+1,"Fecha futura",IF(OR(D360&lt;0,D360&lt;&gt;INT(D360)),"Usuarios no válidos",IF(AND(E360&lt;&gt;"",OR(E360&lt;0,E360&gt;1)),"Utilización fuera de 0-100%",IF(COUNTIFS($A$5:$A$604,A360,$B$5:$B$604,B360,$C$5:$C$604,C360)&gt;1,"Fila duplicada","OK")))))))</f>
        <v/>
      </c>
      <c r="K360" s="9"/>
    </row>
    <row r="361" customFormat="false" ht="15" hidden="false" customHeight="false" outlineLevel="0" collapsed="false">
      <c r="A361" s="7"/>
      <c r="B361" s="8"/>
      <c r="C361" s="9"/>
      <c r="D361" s="20"/>
      <c r="E361" s="10"/>
      <c r="F361" s="9"/>
      <c r="G361" s="11" t="str">
        <f aca="false">IF(C361="","",IFERROR(INDEX(Catálogo!$B$5:$B$2000,MATCH(C361,Catálogo!$A$5:$A$2000,0)),""))</f>
        <v/>
      </c>
      <c r="H361" s="11" t="str">
        <f aca="false">IF(C361="","",IFERROR(INDEX(Catálogo!$C$5:$C$2000,MATCH(C361,Catálogo!$A$5:$A$2000,0)),""))</f>
        <v/>
      </c>
      <c r="I361" s="11" t="str">
        <f aca="false">IF(D361="","",IF(D361&gt;UmbralAlarma,"Alarmante",IF(D361&gt;=UmbralRegular,"Regular","Bueno")))</f>
        <v/>
      </c>
      <c r="J361" s="11" t="str">
        <f aca="true">IF(COUNTA(A361:F361)=0,"",IF(OR(A361="",B361="",C361="",D361=""),"Faltan datos",IF(G361="","AP no está en el catálogo",IF(A361&gt;TODAY()+1,"Fecha futura",IF(OR(D361&lt;0,D361&lt;&gt;INT(D361)),"Usuarios no válidos",IF(AND(E361&lt;&gt;"",OR(E361&lt;0,E361&gt;1)),"Utilización fuera de 0-100%",IF(COUNTIFS($A$5:$A$604,A361,$B$5:$B$604,B361,$C$5:$C$604,C361)&gt;1,"Fila duplicada","OK")))))))</f>
        <v/>
      </c>
      <c r="K361" s="9"/>
    </row>
    <row r="362" customFormat="false" ht="15" hidden="false" customHeight="false" outlineLevel="0" collapsed="false">
      <c r="A362" s="7"/>
      <c r="B362" s="8"/>
      <c r="C362" s="9"/>
      <c r="D362" s="20"/>
      <c r="E362" s="10"/>
      <c r="F362" s="9"/>
      <c r="G362" s="11" t="str">
        <f aca="false">IF(C362="","",IFERROR(INDEX(Catálogo!$B$5:$B$2000,MATCH(C362,Catálogo!$A$5:$A$2000,0)),""))</f>
        <v/>
      </c>
      <c r="H362" s="11" t="str">
        <f aca="false">IF(C362="","",IFERROR(INDEX(Catálogo!$C$5:$C$2000,MATCH(C362,Catálogo!$A$5:$A$2000,0)),""))</f>
        <v/>
      </c>
      <c r="I362" s="11" t="str">
        <f aca="false">IF(D362="","",IF(D362&gt;UmbralAlarma,"Alarmante",IF(D362&gt;=UmbralRegular,"Regular","Bueno")))</f>
        <v/>
      </c>
      <c r="J362" s="11" t="str">
        <f aca="true">IF(COUNTA(A362:F362)=0,"",IF(OR(A362="",B362="",C362="",D362=""),"Faltan datos",IF(G362="","AP no está en el catálogo",IF(A362&gt;TODAY()+1,"Fecha futura",IF(OR(D362&lt;0,D362&lt;&gt;INT(D362)),"Usuarios no válidos",IF(AND(E362&lt;&gt;"",OR(E362&lt;0,E362&gt;1)),"Utilización fuera de 0-100%",IF(COUNTIFS($A$5:$A$604,A362,$B$5:$B$604,B362,$C$5:$C$604,C362)&gt;1,"Fila duplicada","OK")))))))</f>
        <v/>
      </c>
      <c r="K362" s="9"/>
    </row>
    <row r="363" customFormat="false" ht="15" hidden="false" customHeight="false" outlineLevel="0" collapsed="false">
      <c r="A363" s="7"/>
      <c r="B363" s="8"/>
      <c r="C363" s="9"/>
      <c r="D363" s="20"/>
      <c r="E363" s="10"/>
      <c r="F363" s="9"/>
      <c r="G363" s="11" t="str">
        <f aca="false">IF(C363="","",IFERROR(INDEX(Catálogo!$B$5:$B$2000,MATCH(C363,Catálogo!$A$5:$A$2000,0)),""))</f>
        <v/>
      </c>
      <c r="H363" s="11" t="str">
        <f aca="false">IF(C363="","",IFERROR(INDEX(Catálogo!$C$5:$C$2000,MATCH(C363,Catálogo!$A$5:$A$2000,0)),""))</f>
        <v/>
      </c>
      <c r="I363" s="11" t="str">
        <f aca="false">IF(D363="","",IF(D363&gt;UmbralAlarma,"Alarmante",IF(D363&gt;=UmbralRegular,"Regular","Bueno")))</f>
        <v/>
      </c>
      <c r="J363" s="11" t="str">
        <f aca="true">IF(COUNTA(A363:F363)=0,"",IF(OR(A363="",B363="",C363="",D363=""),"Faltan datos",IF(G363="","AP no está en el catálogo",IF(A363&gt;TODAY()+1,"Fecha futura",IF(OR(D363&lt;0,D363&lt;&gt;INT(D363)),"Usuarios no válidos",IF(AND(E363&lt;&gt;"",OR(E363&lt;0,E363&gt;1)),"Utilización fuera de 0-100%",IF(COUNTIFS($A$5:$A$604,A363,$B$5:$B$604,B363,$C$5:$C$604,C363)&gt;1,"Fila duplicada","OK")))))))</f>
        <v/>
      </c>
      <c r="K363" s="9"/>
    </row>
    <row r="364" customFormat="false" ht="15" hidden="false" customHeight="false" outlineLevel="0" collapsed="false">
      <c r="A364" s="7"/>
      <c r="B364" s="8"/>
      <c r="C364" s="9"/>
      <c r="D364" s="20"/>
      <c r="E364" s="10"/>
      <c r="F364" s="9"/>
      <c r="G364" s="11" t="str">
        <f aca="false">IF(C364="","",IFERROR(INDEX(Catálogo!$B$5:$B$2000,MATCH(C364,Catálogo!$A$5:$A$2000,0)),""))</f>
        <v/>
      </c>
      <c r="H364" s="11" t="str">
        <f aca="false">IF(C364="","",IFERROR(INDEX(Catálogo!$C$5:$C$2000,MATCH(C364,Catálogo!$A$5:$A$2000,0)),""))</f>
        <v/>
      </c>
      <c r="I364" s="11" t="str">
        <f aca="false">IF(D364="","",IF(D364&gt;UmbralAlarma,"Alarmante",IF(D364&gt;=UmbralRegular,"Regular","Bueno")))</f>
        <v/>
      </c>
      <c r="J364" s="11" t="str">
        <f aca="true">IF(COUNTA(A364:F364)=0,"",IF(OR(A364="",B364="",C364="",D364=""),"Faltan datos",IF(G364="","AP no está en el catálogo",IF(A364&gt;TODAY()+1,"Fecha futura",IF(OR(D364&lt;0,D364&lt;&gt;INT(D364)),"Usuarios no válidos",IF(AND(E364&lt;&gt;"",OR(E364&lt;0,E364&gt;1)),"Utilización fuera de 0-100%",IF(COUNTIFS($A$5:$A$604,A364,$B$5:$B$604,B364,$C$5:$C$604,C364)&gt;1,"Fila duplicada","OK")))))))</f>
        <v/>
      </c>
      <c r="K364" s="9"/>
    </row>
    <row r="365" customFormat="false" ht="15" hidden="false" customHeight="false" outlineLevel="0" collapsed="false">
      <c r="A365" s="7"/>
      <c r="B365" s="8"/>
      <c r="C365" s="9"/>
      <c r="D365" s="20"/>
      <c r="E365" s="10"/>
      <c r="F365" s="9"/>
      <c r="G365" s="11" t="str">
        <f aca="false">IF(C365="","",IFERROR(INDEX(Catálogo!$B$5:$B$2000,MATCH(C365,Catálogo!$A$5:$A$2000,0)),""))</f>
        <v/>
      </c>
      <c r="H365" s="11" t="str">
        <f aca="false">IF(C365="","",IFERROR(INDEX(Catálogo!$C$5:$C$2000,MATCH(C365,Catálogo!$A$5:$A$2000,0)),""))</f>
        <v/>
      </c>
      <c r="I365" s="11" t="str">
        <f aca="false">IF(D365="","",IF(D365&gt;UmbralAlarma,"Alarmante",IF(D365&gt;=UmbralRegular,"Regular","Bueno")))</f>
        <v/>
      </c>
      <c r="J365" s="11" t="str">
        <f aca="true">IF(COUNTA(A365:F365)=0,"",IF(OR(A365="",B365="",C365="",D365=""),"Faltan datos",IF(G365="","AP no está en el catálogo",IF(A365&gt;TODAY()+1,"Fecha futura",IF(OR(D365&lt;0,D365&lt;&gt;INT(D365)),"Usuarios no válidos",IF(AND(E365&lt;&gt;"",OR(E365&lt;0,E365&gt;1)),"Utilización fuera de 0-100%",IF(COUNTIFS($A$5:$A$604,A365,$B$5:$B$604,B365,$C$5:$C$604,C365)&gt;1,"Fila duplicada","OK")))))))</f>
        <v/>
      </c>
      <c r="K365" s="9"/>
    </row>
    <row r="366" customFormat="false" ht="15" hidden="false" customHeight="false" outlineLevel="0" collapsed="false">
      <c r="A366" s="7"/>
      <c r="B366" s="8"/>
      <c r="C366" s="9"/>
      <c r="D366" s="20"/>
      <c r="E366" s="10"/>
      <c r="F366" s="9"/>
      <c r="G366" s="11" t="str">
        <f aca="false">IF(C366="","",IFERROR(INDEX(Catálogo!$B$5:$B$2000,MATCH(C366,Catálogo!$A$5:$A$2000,0)),""))</f>
        <v/>
      </c>
      <c r="H366" s="11" t="str">
        <f aca="false">IF(C366="","",IFERROR(INDEX(Catálogo!$C$5:$C$2000,MATCH(C366,Catálogo!$A$5:$A$2000,0)),""))</f>
        <v/>
      </c>
      <c r="I366" s="11" t="str">
        <f aca="false">IF(D366="","",IF(D366&gt;UmbralAlarma,"Alarmante",IF(D366&gt;=UmbralRegular,"Regular","Bueno")))</f>
        <v/>
      </c>
      <c r="J366" s="11" t="str">
        <f aca="true">IF(COUNTA(A366:F366)=0,"",IF(OR(A366="",B366="",C366="",D366=""),"Faltan datos",IF(G366="","AP no está en el catálogo",IF(A366&gt;TODAY()+1,"Fecha futura",IF(OR(D366&lt;0,D366&lt;&gt;INT(D366)),"Usuarios no válidos",IF(AND(E366&lt;&gt;"",OR(E366&lt;0,E366&gt;1)),"Utilización fuera de 0-100%",IF(COUNTIFS($A$5:$A$604,A366,$B$5:$B$604,B366,$C$5:$C$604,C366)&gt;1,"Fila duplicada","OK")))))))</f>
        <v/>
      </c>
      <c r="K366" s="9"/>
    </row>
    <row r="367" customFormat="false" ht="15" hidden="false" customHeight="false" outlineLevel="0" collapsed="false">
      <c r="A367" s="7"/>
      <c r="B367" s="8"/>
      <c r="C367" s="9"/>
      <c r="D367" s="20"/>
      <c r="E367" s="10"/>
      <c r="F367" s="9"/>
      <c r="G367" s="11" t="str">
        <f aca="false">IF(C367="","",IFERROR(INDEX(Catálogo!$B$5:$B$2000,MATCH(C367,Catálogo!$A$5:$A$2000,0)),""))</f>
        <v/>
      </c>
      <c r="H367" s="11" t="str">
        <f aca="false">IF(C367="","",IFERROR(INDEX(Catálogo!$C$5:$C$2000,MATCH(C367,Catálogo!$A$5:$A$2000,0)),""))</f>
        <v/>
      </c>
      <c r="I367" s="11" t="str">
        <f aca="false">IF(D367="","",IF(D367&gt;UmbralAlarma,"Alarmante",IF(D367&gt;=UmbralRegular,"Regular","Bueno")))</f>
        <v/>
      </c>
      <c r="J367" s="11" t="str">
        <f aca="true">IF(COUNTA(A367:F367)=0,"",IF(OR(A367="",B367="",C367="",D367=""),"Faltan datos",IF(G367="","AP no está en el catálogo",IF(A367&gt;TODAY()+1,"Fecha futura",IF(OR(D367&lt;0,D367&lt;&gt;INT(D367)),"Usuarios no válidos",IF(AND(E367&lt;&gt;"",OR(E367&lt;0,E367&gt;1)),"Utilización fuera de 0-100%",IF(COUNTIFS($A$5:$A$604,A367,$B$5:$B$604,B367,$C$5:$C$604,C367)&gt;1,"Fila duplicada","OK")))))))</f>
        <v/>
      </c>
      <c r="K367" s="9"/>
    </row>
    <row r="368" customFormat="false" ht="15" hidden="false" customHeight="false" outlineLevel="0" collapsed="false">
      <c r="A368" s="7"/>
      <c r="B368" s="8"/>
      <c r="C368" s="9"/>
      <c r="D368" s="20"/>
      <c r="E368" s="10"/>
      <c r="F368" s="9"/>
      <c r="G368" s="11" t="str">
        <f aca="false">IF(C368="","",IFERROR(INDEX(Catálogo!$B$5:$B$2000,MATCH(C368,Catálogo!$A$5:$A$2000,0)),""))</f>
        <v/>
      </c>
      <c r="H368" s="11" t="str">
        <f aca="false">IF(C368="","",IFERROR(INDEX(Catálogo!$C$5:$C$2000,MATCH(C368,Catálogo!$A$5:$A$2000,0)),""))</f>
        <v/>
      </c>
      <c r="I368" s="11" t="str">
        <f aca="false">IF(D368="","",IF(D368&gt;UmbralAlarma,"Alarmante",IF(D368&gt;=UmbralRegular,"Regular","Bueno")))</f>
        <v/>
      </c>
      <c r="J368" s="11" t="str">
        <f aca="true">IF(COUNTA(A368:F368)=0,"",IF(OR(A368="",B368="",C368="",D368=""),"Faltan datos",IF(G368="","AP no está en el catálogo",IF(A368&gt;TODAY()+1,"Fecha futura",IF(OR(D368&lt;0,D368&lt;&gt;INT(D368)),"Usuarios no válidos",IF(AND(E368&lt;&gt;"",OR(E368&lt;0,E368&gt;1)),"Utilización fuera de 0-100%",IF(COUNTIFS($A$5:$A$604,A368,$B$5:$B$604,B368,$C$5:$C$604,C368)&gt;1,"Fila duplicada","OK")))))))</f>
        <v/>
      </c>
      <c r="K368" s="9"/>
    </row>
    <row r="369" customFormat="false" ht="15" hidden="false" customHeight="false" outlineLevel="0" collapsed="false">
      <c r="A369" s="7"/>
      <c r="B369" s="8"/>
      <c r="C369" s="9"/>
      <c r="D369" s="20"/>
      <c r="E369" s="10"/>
      <c r="F369" s="9"/>
      <c r="G369" s="11" t="str">
        <f aca="false">IF(C369="","",IFERROR(INDEX(Catálogo!$B$5:$B$2000,MATCH(C369,Catálogo!$A$5:$A$2000,0)),""))</f>
        <v/>
      </c>
      <c r="H369" s="11" t="str">
        <f aca="false">IF(C369="","",IFERROR(INDEX(Catálogo!$C$5:$C$2000,MATCH(C369,Catálogo!$A$5:$A$2000,0)),""))</f>
        <v/>
      </c>
      <c r="I369" s="11" t="str">
        <f aca="false">IF(D369="","",IF(D369&gt;UmbralAlarma,"Alarmante",IF(D369&gt;=UmbralRegular,"Regular","Bueno")))</f>
        <v/>
      </c>
      <c r="J369" s="11" t="str">
        <f aca="true">IF(COUNTA(A369:F369)=0,"",IF(OR(A369="",B369="",C369="",D369=""),"Faltan datos",IF(G369="","AP no está en el catálogo",IF(A369&gt;TODAY()+1,"Fecha futura",IF(OR(D369&lt;0,D369&lt;&gt;INT(D369)),"Usuarios no válidos",IF(AND(E369&lt;&gt;"",OR(E369&lt;0,E369&gt;1)),"Utilización fuera de 0-100%",IF(COUNTIFS($A$5:$A$604,A369,$B$5:$B$604,B369,$C$5:$C$604,C369)&gt;1,"Fila duplicada","OK")))))))</f>
        <v/>
      </c>
      <c r="K369" s="9"/>
    </row>
    <row r="370" customFormat="false" ht="15" hidden="false" customHeight="false" outlineLevel="0" collapsed="false">
      <c r="A370" s="7"/>
      <c r="B370" s="8"/>
      <c r="C370" s="9"/>
      <c r="D370" s="20"/>
      <c r="E370" s="10"/>
      <c r="F370" s="9"/>
      <c r="G370" s="11" t="str">
        <f aca="false">IF(C370="","",IFERROR(INDEX(Catálogo!$B$5:$B$2000,MATCH(C370,Catálogo!$A$5:$A$2000,0)),""))</f>
        <v/>
      </c>
      <c r="H370" s="11" t="str">
        <f aca="false">IF(C370="","",IFERROR(INDEX(Catálogo!$C$5:$C$2000,MATCH(C370,Catálogo!$A$5:$A$2000,0)),""))</f>
        <v/>
      </c>
      <c r="I370" s="11" t="str">
        <f aca="false">IF(D370="","",IF(D370&gt;UmbralAlarma,"Alarmante",IF(D370&gt;=UmbralRegular,"Regular","Bueno")))</f>
        <v/>
      </c>
      <c r="J370" s="11" t="str">
        <f aca="true">IF(COUNTA(A370:F370)=0,"",IF(OR(A370="",B370="",C370="",D370=""),"Faltan datos",IF(G370="","AP no está en el catálogo",IF(A370&gt;TODAY()+1,"Fecha futura",IF(OR(D370&lt;0,D370&lt;&gt;INT(D370)),"Usuarios no válidos",IF(AND(E370&lt;&gt;"",OR(E370&lt;0,E370&gt;1)),"Utilización fuera de 0-100%",IF(COUNTIFS($A$5:$A$604,A370,$B$5:$B$604,B370,$C$5:$C$604,C370)&gt;1,"Fila duplicada","OK")))))))</f>
        <v/>
      </c>
      <c r="K370" s="9"/>
    </row>
    <row r="371" customFormat="false" ht="15" hidden="false" customHeight="false" outlineLevel="0" collapsed="false">
      <c r="A371" s="7"/>
      <c r="B371" s="8"/>
      <c r="C371" s="9"/>
      <c r="D371" s="20"/>
      <c r="E371" s="10"/>
      <c r="F371" s="9"/>
      <c r="G371" s="11" t="str">
        <f aca="false">IF(C371="","",IFERROR(INDEX(Catálogo!$B$5:$B$2000,MATCH(C371,Catálogo!$A$5:$A$2000,0)),""))</f>
        <v/>
      </c>
      <c r="H371" s="11" t="str">
        <f aca="false">IF(C371="","",IFERROR(INDEX(Catálogo!$C$5:$C$2000,MATCH(C371,Catálogo!$A$5:$A$2000,0)),""))</f>
        <v/>
      </c>
      <c r="I371" s="11" t="str">
        <f aca="false">IF(D371="","",IF(D371&gt;UmbralAlarma,"Alarmante",IF(D371&gt;=UmbralRegular,"Regular","Bueno")))</f>
        <v/>
      </c>
      <c r="J371" s="11" t="str">
        <f aca="true">IF(COUNTA(A371:F371)=0,"",IF(OR(A371="",B371="",C371="",D371=""),"Faltan datos",IF(G371="","AP no está en el catálogo",IF(A371&gt;TODAY()+1,"Fecha futura",IF(OR(D371&lt;0,D371&lt;&gt;INT(D371)),"Usuarios no válidos",IF(AND(E371&lt;&gt;"",OR(E371&lt;0,E371&gt;1)),"Utilización fuera de 0-100%",IF(COUNTIFS($A$5:$A$604,A371,$B$5:$B$604,B371,$C$5:$C$604,C371)&gt;1,"Fila duplicada","OK")))))))</f>
        <v/>
      </c>
      <c r="K371" s="9"/>
    </row>
    <row r="372" customFormat="false" ht="15" hidden="false" customHeight="false" outlineLevel="0" collapsed="false">
      <c r="A372" s="7"/>
      <c r="B372" s="8"/>
      <c r="C372" s="9"/>
      <c r="D372" s="20"/>
      <c r="E372" s="10"/>
      <c r="F372" s="9"/>
      <c r="G372" s="11" t="str">
        <f aca="false">IF(C372="","",IFERROR(INDEX(Catálogo!$B$5:$B$2000,MATCH(C372,Catálogo!$A$5:$A$2000,0)),""))</f>
        <v/>
      </c>
      <c r="H372" s="11" t="str">
        <f aca="false">IF(C372="","",IFERROR(INDEX(Catálogo!$C$5:$C$2000,MATCH(C372,Catálogo!$A$5:$A$2000,0)),""))</f>
        <v/>
      </c>
      <c r="I372" s="11" t="str">
        <f aca="false">IF(D372="","",IF(D372&gt;UmbralAlarma,"Alarmante",IF(D372&gt;=UmbralRegular,"Regular","Bueno")))</f>
        <v/>
      </c>
      <c r="J372" s="11" t="str">
        <f aca="true">IF(COUNTA(A372:F372)=0,"",IF(OR(A372="",B372="",C372="",D372=""),"Faltan datos",IF(G372="","AP no está en el catálogo",IF(A372&gt;TODAY()+1,"Fecha futura",IF(OR(D372&lt;0,D372&lt;&gt;INT(D372)),"Usuarios no válidos",IF(AND(E372&lt;&gt;"",OR(E372&lt;0,E372&gt;1)),"Utilización fuera de 0-100%",IF(COUNTIFS($A$5:$A$604,A372,$B$5:$B$604,B372,$C$5:$C$604,C372)&gt;1,"Fila duplicada","OK")))))))</f>
        <v/>
      </c>
      <c r="K372" s="9"/>
    </row>
    <row r="373" customFormat="false" ht="15" hidden="false" customHeight="false" outlineLevel="0" collapsed="false">
      <c r="A373" s="7"/>
      <c r="B373" s="8"/>
      <c r="C373" s="9"/>
      <c r="D373" s="20"/>
      <c r="E373" s="10"/>
      <c r="F373" s="9"/>
      <c r="G373" s="11" t="str">
        <f aca="false">IF(C373="","",IFERROR(INDEX(Catálogo!$B$5:$B$2000,MATCH(C373,Catálogo!$A$5:$A$2000,0)),""))</f>
        <v/>
      </c>
      <c r="H373" s="11" t="str">
        <f aca="false">IF(C373="","",IFERROR(INDEX(Catálogo!$C$5:$C$2000,MATCH(C373,Catálogo!$A$5:$A$2000,0)),""))</f>
        <v/>
      </c>
      <c r="I373" s="11" t="str">
        <f aca="false">IF(D373="","",IF(D373&gt;UmbralAlarma,"Alarmante",IF(D373&gt;=UmbralRegular,"Regular","Bueno")))</f>
        <v/>
      </c>
      <c r="J373" s="11" t="str">
        <f aca="true">IF(COUNTA(A373:F373)=0,"",IF(OR(A373="",B373="",C373="",D373=""),"Faltan datos",IF(G373="","AP no está en el catálogo",IF(A373&gt;TODAY()+1,"Fecha futura",IF(OR(D373&lt;0,D373&lt;&gt;INT(D373)),"Usuarios no válidos",IF(AND(E373&lt;&gt;"",OR(E373&lt;0,E373&gt;1)),"Utilización fuera de 0-100%",IF(COUNTIFS($A$5:$A$604,A373,$B$5:$B$604,B373,$C$5:$C$604,C373)&gt;1,"Fila duplicada","OK")))))))</f>
        <v/>
      </c>
      <c r="K373" s="9"/>
    </row>
    <row r="374" customFormat="false" ht="15" hidden="false" customHeight="false" outlineLevel="0" collapsed="false">
      <c r="A374" s="7"/>
      <c r="B374" s="8"/>
      <c r="C374" s="9"/>
      <c r="D374" s="20"/>
      <c r="E374" s="10"/>
      <c r="F374" s="9"/>
      <c r="G374" s="11" t="str">
        <f aca="false">IF(C374="","",IFERROR(INDEX(Catálogo!$B$5:$B$2000,MATCH(C374,Catálogo!$A$5:$A$2000,0)),""))</f>
        <v/>
      </c>
      <c r="H374" s="11" t="str">
        <f aca="false">IF(C374="","",IFERROR(INDEX(Catálogo!$C$5:$C$2000,MATCH(C374,Catálogo!$A$5:$A$2000,0)),""))</f>
        <v/>
      </c>
      <c r="I374" s="11" t="str">
        <f aca="false">IF(D374="","",IF(D374&gt;UmbralAlarma,"Alarmante",IF(D374&gt;=UmbralRegular,"Regular","Bueno")))</f>
        <v/>
      </c>
      <c r="J374" s="11" t="str">
        <f aca="true">IF(COUNTA(A374:F374)=0,"",IF(OR(A374="",B374="",C374="",D374=""),"Faltan datos",IF(G374="","AP no está en el catálogo",IF(A374&gt;TODAY()+1,"Fecha futura",IF(OR(D374&lt;0,D374&lt;&gt;INT(D374)),"Usuarios no válidos",IF(AND(E374&lt;&gt;"",OR(E374&lt;0,E374&gt;1)),"Utilización fuera de 0-100%",IF(COUNTIFS($A$5:$A$604,A374,$B$5:$B$604,B374,$C$5:$C$604,C374)&gt;1,"Fila duplicada","OK")))))))</f>
        <v/>
      </c>
      <c r="K374" s="9"/>
    </row>
    <row r="375" customFormat="false" ht="15" hidden="false" customHeight="false" outlineLevel="0" collapsed="false">
      <c r="A375" s="7"/>
      <c r="B375" s="8"/>
      <c r="C375" s="9"/>
      <c r="D375" s="20"/>
      <c r="E375" s="10"/>
      <c r="F375" s="9"/>
      <c r="G375" s="11" t="str">
        <f aca="false">IF(C375="","",IFERROR(INDEX(Catálogo!$B$5:$B$2000,MATCH(C375,Catálogo!$A$5:$A$2000,0)),""))</f>
        <v/>
      </c>
      <c r="H375" s="11" t="str">
        <f aca="false">IF(C375="","",IFERROR(INDEX(Catálogo!$C$5:$C$2000,MATCH(C375,Catálogo!$A$5:$A$2000,0)),""))</f>
        <v/>
      </c>
      <c r="I375" s="11" t="str">
        <f aca="false">IF(D375="","",IF(D375&gt;UmbralAlarma,"Alarmante",IF(D375&gt;=UmbralRegular,"Regular","Bueno")))</f>
        <v/>
      </c>
      <c r="J375" s="11" t="str">
        <f aca="true">IF(COUNTA(A375:F375)=0,"",IF(OR(A375="",B375="",C375="",D375=""),"Faltan datos",IF(G375="","AP no está en el catálogo",IF(A375&gt;TODAY()+1,"Fecha futura",IF(OR(D375&lt;0,D375&lt;&gt;INT(D375)),"Usuarios no válidos",IF(AND(E375&lt;&gt;"",OR(E375&lt;0,E375&gt;1)),"Utilización fuera de 0-100%",IF(COUNTIFS($A$5:$A$604,A375,$B$5:$B$604,B375,$C$5:$C$604,C375)&gt;1,"Fila duplicada","OK")))))))</f>
        <v/>
      </c>
      <c r="K375" s="9"/>
    </row>
    <row r="376" customFormat="false" ht="15" hidden="false" customHeight="false" outlineLevel="0" collapsed="false">
      <c r="A376" s="7"/>
      <c r="B376" s="8"/>
      <c r="C376" s="9"/>
      <c r="D376" s="20"/>
      <c r="E376" s="10"/>
      <c r="F376" s="9"/>
      <c r="G376" s="11" t="str">
        <f aca="false">IF(C376="","",IFERROR(INDEX(Catálogo!$B$5:$B$2000,MATCH(C376,Catálogo!$A$5:$A$2000,0)),""))</f>
        <v/>
      </c>
      <c r="H376" s="11" t="str">
        <f aca="false">IF(C376="","",IFERROR(INDEX(Catálogo!$C$5:$C$2000,MATCH(C376,Catálogo!$A$5:$A$2000,0)),""))</f>
        <v/>
      </c>
      <c r="I376" s="11" t="str">
        <f aca="false">IF(D376="","",IF(D376&gt;UmbralAlarma,"Alarmante",IF(D376&gt;=UmbralRegular,"Regular","Bueno")))</f>
        <v/>
      </c>
      <c r="J376" s="11" t="str">
        <f aca="true">IF(COUNTA(A376:F376)=0,"",IF(OR(A376="",B376="",C376="",D376=""),"Faltan datos",IF(G376="","AP no está en el catálogo",IF(A376&gt;TODAY()+1,"Fecha futura",IF(OR(D376&lt;0,D376&lt;&gt;INT(D376)),"Usuarios no válidos",IF(AND(E376&lt;&gt;"",OR(E376&lt;0,E376&gt;1)),"Utilización fuera de 0-100%",IF(COUNTIFS($A$5:$A$604,A376,$B$5:$B$604,B376,$C$5:$C$604,C376)&gt;1,"Fila duplicada","OK")))))))</f>
        <v/>
      </c>
      <c r="K376" s="9"/>
    </row>
    <row r="377" customFormat="false" ht="15" hidden="false" customHeight="false" outlineLevel="0" collapsed="false">
      <c r="A377" s="7"/>
      <c r="B377" s="8"/>
      <c r="C377" s="9"/>
      <c r="D377" s="20"/>
      <c r="E377" s="10"/>
      <c r="F377" s="9"/>
      <c r="G377" s="11" t="str">
        <f aca="false">IF(C377="","",IFERROR(INDEX(Catálogo!$B$5:$B$2000,MATCH(C377,Catálogo!$A$5:$A$2000,0)),""))</f>
        <v/>
      </c>
      <c r="H377" s="11" t="str">
        <f aca="false">IF(C377="","",IFERROR(INDEX(Catálogo!$C$5:$C$2000,MATCH(C377,Catálogo!$A$5:$A$2000,0)),""))</f>
        <v/>
      </c>
      <c r="I377" s="11" t="str">
        <f aca="false">IF(D377="","",IF(D377&gt;UmbralAlarma,"Alarmante",IF(D377&gt;=UmbralRegular,"Regular","Bueno")))</f>
        <v/>
      </c>
      <c r="J377" s="11" t="str">
        <f aca="true">IF(COUNTA(A377:F377)=0,"",IF(OR(A377="",B377="",C377="",D377=""),"Faltan datos",IF(G377="","AP no está en el catálogo",IF(A377&gt;TODAY()+1,"Fecha futura",IF(OR(D377&lt;0,D377&lt;&gt;INT(D377)),"Usuarios no válidos",IF(AND(E377&lt;&gt;"",OR(E377&lt;0,E377&gt;1)),"Utilización fuera de 0-100%",IF(COUNTIFS($A$5:$A$604,A377,$B$5:$B$604,B377,$C$5:$C$604,C377)&gt;1,"Fila duplicada","OK")))))))</f>
        <v/>
      </c>
      <c r="K377" s="9"/>
    </row>
    <row r="378" customFormat="false" ht="15" hidden="false" customHeight="false" outlineLevel="0" collapsed="false">
      <c r="A378" s="7"/>
      <c r="B378" s="8"/>
      <c r="C378" s="9"/>
      <c r="D378" s="20"/>
      <c r="E378" s="10"/>
      <c r="F378" s="9"/>
      <c r="G378" s="11" t="str">
        <f aca="false">IF(C378="","",IFERROR(INDEX(Catálogo!$B$5:$B$2000,MATCH(C378,Catálogo!$A$5:$A$2000,0)),""))</f>
        <v/>
      </c>
      <c r="H378" s="11" t="str">
        <f aca="false">IF(C378="","",IFERROR(INDEX(Catálogo!$C$5:$C$2000,MATCH(C378,Catálogo!$A$5:$A$2000,0)),""))</f>
        <v/>
      </c>
      <c r="I378" s="11" t="str">
        <f aca="false">IF(D378="","",IF(D378&gt;UmbralAlarma,"Alarmante",IF(D378&gt;=UmbralRegular,"Regular","Bueno")))</f>
        <v/>
      </c>
      <c r="J378" s="11" t="str">
        <f aca="true">IF(COUNTA(A378:F378)=0,"",IF(OR(A378="",B378="",C378="",D378=""),"Faltan datos",IF(G378="","AP no está en el catálogo",IF(A378&gt;TODAY()+1,"Fecha futura",IF(OR(D378&lt;0,D378&lt;&gt;INT(D378)),"Usuarios no válidos",IF(AND(E378&lt;&gt;"",OR(E378&lt;0,E378&gt;1)),"Utilización fuera de 0-100%",IF(COUNTIFS($A$5:$A$604,A378,$B$5:$B$604,B378,$C$5:$C$604,C378)&gt;1,"Fila duplicada","OK")))))))</f>
        <v/>
      </c>
      <c r="K378" s="9"/>
    </row>
    <row r="379" customFormat="false" ht="15" hidden="false" customHeight="false" outlineLevel="0" collapsed="false">
      <c r="A379" s="7"/>
      <c r="B379" s="8"/>
      <c r="C379" s="9"/>
      <c r="D379" s="20"/>
      <c r="E379" s="10"/>
      <c r="F379" s="9"/>
      <c r="G379" s="11" t="str">
        <f aca="false">IF(C379="","",IFERROR(INDEX(Catálogo!$B$5:$B$2000,MATCH(C379,Catálogo!$A$5:$A$2000,0)),""))</f>
        <v/>
      </c>
      <c r="H379" s="11" t="str">
        <f aca="false">IF(C379="","",IFERROR(INDEX(Catálogo!$C$5:$C$2000,MATCH(C379,Catálogo!$A$5:$A$2000,0)),""))</f>
        <v/>
      </c>
      <c r="I379" s="11" t="str">
        <f aca="false">IF(D379="","",IF(D379&gt;UmbralAlarma,"Alarmante",IF(D379&gt;=UmbralRegular,"Regular","Bueno")))</f>
        <v/>
      </c>
      <c r="J379" s="11" t="str">
        <f aca="true">IF(COUNTA(A379:F379)=0,"",IF(OR(A379="",B379="",C379="",D379=""),"Faltan datos",IF(G379="","AP no está en el catálogo",IF(A379&gt;TODAY()+1,"Fecha futura",IF(OR(D379&lt;0,D379&lt;&gt;INT(D379)),"Usuarios no válidos",IF(AND(E379&lt;&gt;"",OR(E379&lt;0,E379&gt;1)),"Utilización fuera de 0-100%",IF(COUNTIFS($A$5:$A$604,A379,$B$5:$B$604,B379,$C$5:$C$604,C379)&gt;1,"Fila duplicada","OK")))))))</f>
        <v/>
      </c>
      <c r="K379" s="9"/>
    </row>
    <row r="380" customFormat="false" ht="15" hidden="false" customHeight="false" outlineLevel="0" collapsed="false">
      <c r="A380" s="7"/>
      <c r="B380" s="8"/>
      <c r="C380" s="9"/>
      <c r="D380" s="20"/>
      <c r="E380" s="10"/>
      <c r="F380" s="9"/>
      <c r="G380" s="11" t="str">
        <f aca="false">IF(C380="","",IFERROR(INDEX(Catálogo!$B$5:$B$2000,MATCH(C380,Catálogo!$A$5:$A$2000,0)),""))</f>
        <v/>
      </c>
      <c r="H380" s="11" t="str">
        <f aca="false">IF(C380="","",IFERROR(INDEX(Catálogo!$C$5:$C$2000,MATCH(C380,Catálogo!$A$5:$A$2000,0)),""))</f>
        <v/>
      </c>
      <c r="I380" s="11" t="str">
        <f aca="false">IF(D380="","",IF(D380&gt;UmbralAlarma,"Alarmante",IF(D380&gt;=UmbralRegular,"Regular","Bueno")))</f>
        <v/>
      </c>
      <c r="J380" s="11" t="str">
        <f aca="true">IF(COUNTA(A380:F380)=0,"",IF(OR(A380="",B380="",C380="",D380=""),"Faltan datos",IF(G380="","AP no está en el catálogo",IF(A380&gt;TODAY()+1,"Fecha futura",IF(OR(D380&lt;0,D380&lt;&gt;INT(D380)),"Usuarios no válidos",IF(AND(E380&lt;&gt;"",OR(E380&lt;0,E380&gt;1)),"Utilización fuera de 0-100%",IF(COUNTIFS($A$5:$A$604,A380,$B$5:$B$604,B380,$C$5:$C$604,C380)&gt;1,"Fila duplicada","OK")))))))</f>
        <v/>
      </c>
      <c r="K380" s="9"/>
    </row>
    <row r="381" customFormat="false" ht="15" hidden="false" customHeight="false" outlineLevel="0" collapsed="false">
      <c r="A381" s="7"/>
      <c r="B381" s="8"/>
      <c r="C381" s="9"/>
      <c r="D381" s="20"/>
      <c r="E381" s="10"/>
      <c r="F381" s="9"/>
      <c r="G381" s="11" t="str">
        <f aca="false">IF(C381="","",IFERROR(INDEX(Catálogo!$B$5:$B$2000,MATCH(C381,Catálogo!$A$5:$A$2000,0)),""))</f>
        <v/>
      </c>
      <c r="H381" s="11" t="str">
        <f aca="false">IF(C381="","",IFERROR(INDEX(Catálogo!$C$5:$C$2000,MATCH(C381,Catálogo!$A$5:$A$2000,0)),""))</f>
        <v/>
      </c>
      <c r="I381" s="11" t="str">
        <f aca="false">IF(D381="","",IF(D381&gt;UmbralAlarma,"Alarmante",IF(D381&gt;=UmbralRegular,"Regular","Bueno")))</f>
        <v/>
      </c>
      <c r="J381" s="11" t="str">
        <f aca="true">IF(COUNTA(A381:F381)=0,"",IF(OR(A381="",B381="",C381="",D381=""),"Faltan datos",IF(G381="","AP no está en el catálogo",IF(A381&gt;TODAY()+1,"Fecha futura",IF(OR(D381&lt;0,D381&lt;&gt;INT(D381)),"Usuarios no válidos",IF(AND(E381&lt;&gt;"",OR(E381&lt;0,E381&gt;1)),"Utilización fuera de 0-100%",IF(COUNTIFS($A$5:$A$604,A381,$B$5:$B$604,B381,$C$5:$C$604,C381)&gt;1,"Fila duplicada","OK")))))))</f>
        <v/>
      </c>
      <c r="K381" s="9"/>
    </row>
    <row r="382" customFormat="false" ht="15" hidden="false" customHeight="false" outlineLevel="0" collapsed="false">
      <c r="A382" s="7"/>
      <c r="B382" s="8"/>
      <c r="C382" s="9"/>
      <c r="D382" s="20"/>
      <c r="E382" s="10"/>
      <c r="F382" s="9"/>
      <c r="G382" s="11" t="str">
        <f aca="false">IF(C382="","",IFERROR(INDEX(Catálogo!$B$5:$B$2000,MATCH(C382,Catálogo!$A$5:$A$2000,0)),""))</f>
        <v/>
      </c>
      <c r="H382" s="11" t="str">
        <f aca="false">IF(C382="","",IFERROR(INDEX(Catálogo!$C$5:$C$2000,MATCH(C382,Catálogo!$A$5:$A$2000,0)),""))</f>
        <v/>
      </c>
      <c r="I382" s="11" t="str">
        <f aca="false">IF(D382="","",IF(D382&gt;UmbralAlarma,"Alarmante",IF(D382&gt;=UmbralRegular,"Regular","Bueno")))</f>
        <v/>
      </c>
      <c r="J382" s="11" t="str">
        <f aca="true">IF(COUNTA(A382:F382)=0,"",IF(OR(A382="",B382="",C382="",D382=""),"Faltan datos",IF(G382="","AP no está en el catálogo",IF(A382&gt;TODAY()+1,"Fecha futura",IF(OR(D382&lt;0,D382&lt;&gt;INT(D382)),"Usuarios no válidos",IF(AND(E382&lt;&gt;"",OR(E382&lt;0,E382&gt;1)),"Utilización fuera de 0-100%",IF(COUNTIFS($A$5:$A$604,A382,$B$5:$B$604,B382,$C$5:$C$604,C382)&gt;1,"Fila duplicada","OK")))))))</f>
        <v/>
      </c>
      <c r="K382" s="9"/>
    </row>
    <row r="383" customFormat="false" ht="15" hidden="false" customHeight="false" outlineLevel="0" collapsed="false">
      <c r="A383" s="7"/>
      <c r="B383" s="8"/>
      <c r="C383" s="9"/>
      <c r="D383" s="20"/>
      <c r="E383" s="10"/>
      <c r="F383" s="9"/>
      <c r="G383" s="11" t="str">
        <f aca="false">IF(C383="","",IFERROR(INDEX(Catálogo!$B$5:$B$2000,MATCH(C383,Catálogo!$A$5:$A$2000,0)),""))</f>
        <v/>
      </c>
      <c r="H383" s="11" t="str">
        <f aca="false">IF(C383="","",IFERROR(INDEX(Catálogo!$C$5:$C$2000,MATCH(C383,Catálogo!$A$5:$A$2000,0)),""))</f>
        <v/>
      </c>
      <c r="I383" s="11" t="str">
        <f aca="false">IF(D383="","",IF(D383&gt;UmbralAlarma,"Alarmante",IF(D383&gt;=UmbralRegular,"Regular","Bueno")))</f>
        <v/>
      </c>
      <c r="J383" s="11" t="str">
        <f aca="true">IF(COUNTA(A383:F383)=0,"",IF(OR(A383="",B383="",C383="",D383=""),"Faltan datos",IF(G383="","AP no está en el catálogo",IF(A383&gt;TODAY()+1,"Fecha futura",IF(OR(D383&lt;0,D383&lt;&gt;INT(D383)),"Usuarios no válidos",IF(AND(E383&lt;&gt;"",OR(E383&lt;0,E383&gt;1)),"Utilización fuera de 0-100%",IF(COUNTIFS($A$5:$A$604,A383,$B$5:$B$604,B383,$C$5:$C$604,C383)&gt;1,"Fila duplicada","OK")))))))</f>
        <v/>
      </c>
      <c r="K383" s="9"/>
    </row>
    <row r="384" customFormat="false" ht="15" hidden="false" customHeight="false" outlineLevel="0" collapsed="false">
      <c r="A384" s="7"/>
      <c r="B384" s="8"/>
      <c r="C384" s="9"/>
      <c r="D384" s="20"/>
      <c r="E384" s="10"/>
      <c r="F384" s="9"/>
      <c r="G384" s="11" t="str">
        <f aca="false">IF(C384="","",IFERROR(INDEX(Catálogo!$B$5:$B$2000,MATCH(C384,Catálogo!$A$5:$A$2000,0)),""))</f>
        <v/>
      </c>
      <c r="H384" s="11" t="str">
        <f aca="false">IF(C384="","",IFERROR(INDEX(Catálogo!$C$5:$C$2000,MATCH(C384,Catálogo!$A$5:$A$2000,0)),""))</f>
        <v/>
      </c>
      <c r="I384" s="11" t="str">
        <f aca="false">IF(D384="","",IF(D384&gt;UmbralAlarma,"Alarmante",IF(D384&gt;=UmbralRegular,"Regular","Bueno")))</f>
        <v/>
      </c>
      <c r="J384" s="11" t="str">
        <f aca="true">IF(COUNTA(A384:F384)=0,"",IF(OR(A384="",B384="",C384="",D384=""),"Faltan datos",IF(G384="","AP no está en el catálogo",IF(A384&gt;TODAY()+1,"Fecha futura",IF(OR(D384&lt;0,D384&lt;&gt;INT(D384)),"Usuarios no válidos",IF(AND(E384&lt;&gt;"",OR(E384&lt;0,E384&gt;1)),"Utilización fuera de 0-100%",IF(COUNTIFS($A$5:$A$604,A384,$B$5:$B$604,B384,$C$5:$C$604,C384)&gt;1,"Fila duplicada","OK")))))))</f>
        <v/>
      </c>
      <c r="K384" s="9"/>
    </row>
    <row r="385" customFormat="false" ht="15" hidden="false" customHeight="false" outlineLevel="0" collapsed="false">
      <c r="A385" s="7"/>
      <c r="B385" s="8"/>
      <c r="C385" s="9"/>
      <c r="D385" s="20"/>
      <c r="E385" s="10"/>
      <c r="F385" s="9"/>
      <c r="G385" s="11" t="str">
        <f aca="false">IF(C385="","",IFERROR(INDEX(Catálogo!$B$5:$B$2000,MATCH(C385,Catálogo!$A$5:$A$2000,0)),""))</f>
        <v/>
      </c>
      <c r="H385" s="11" t="str">
        <f aca="false">IF(C385="","",IFERROR(INDEX(Catálogo!$C$5:$C$2000,MATCH(C385,Catálogo!$A$5:$A$2000,0)),""))</f>
        <v/>
      </c>
      <c r="I385" s="11" t="str">
        <f aca="false">IF(D385="","",IF(D385&gt;UmbralAlarma,"Alarmante",IF(D385&gt;=UmbralRegular,"Regular","Bueno")))</f>
        <v/>
      </c>
      <c r="J385" s="11" t="str">
        <f aca="true">IF(COUNTA(A385:F385)=0,"",IF(OR(A385="",B385="",C385="",D385=""),"Faltan datos",IF(G385="","AP no está en el catálogo",IF(A385&gt;TODAY()+1,"Fecha futura",IF(OR(D385&lt;0,D385&lt;&gt;INT(D385)),"Usuarios no válidos",IF(AND(E385&lt;&gt;"",OR(E385&lt;0,E385&gt;1)),"Utilización fuera de 0-100%",IF(COUNTIFS($A$5:$A$604,A385,$B$5:$B$604,B385,$C$5:$C$604,C385)&gt;1,"Fila duplicada","OK")))))))</f>
        <v/>
      </c>
      <c r="K385" s="9"/>
    </row>
    <row r="386" customFormat="false" ht="15" hidden="false" customHeight="false" outlineLevel="0" collapsed="false">
      <c r="A386" s="7"/>
      <c r="B386" s="8"/>
      <c r="C386" s="9"/>
      <c r="D386" s="20"/>
      <c r="E386" s="10"/>
      <c r="F386" s="9"/>
      <c r="G386" s="11" t="str">
        <f aca="false">IF(C386="","",IFERROR(INDEX(Catálogo!$B$5:$B$2000,MATCH(C386,Catálogo!$A$5:$A$2000,0)),""))</f>
        <v/>
      </c>
      <c r="H386" s="11" t="str">
        <f aca="false">IF(C386="","",IFERROR(INDEX(Catálogo!$C$5:$C$2000,MATCH(C386,Catálogo!$A$5:$A$2000,0)),""))</f>
        <v/>
      </c>
      <c r="I386" s="11" t="str">
        <f aca="false">IF(D386="","",IF(D386&gt;UmbralAlarma,"Alarmante",IF(D386&gt;=UmbralRegular,"Regular","Bueno")))</f>
        <v/>
      </c>
      <c r="J386" s="11" t="str">
        <f aca="true">IF(COUNTA(A386:F386)=0,"",IF(OR(A386="",B386="",C386="",D386=""),"Faltan datos",IF(G386="","AP no está en el catálogo",IF(A386&gt;TODAY()+1,"Fecha futura",IF(OR(D386&lt;0,D386&lt;&gt;INT(D386)),"Usuarios no válidos",IF(AND(E386&lt;&gt;"",OR(E386&lt;0,E386&gt;1)),"Utilización fuera de 0-100%",IF(COUNTIFS($A$5:$A$604,A386,$B$5:$B$604,B386,$C$5:$C$604,C386)&gt;1,"Fila duplicada","OK")))))))</f>
        <v/>
      </c>
      <c r="K386" s="9"/>
    </row>
    <row r="387" customFormat="false" ht="15" hidden="false" customHeight="false" outlineLevel="0" collapsed="false">
      <c r="A387" s="7"/>
      <c r="B387" s="8"/>
      <c r="C387" s="9"/>
      <c r="D387" s="20"/>
      <c r="E387" s="10"/>
      <c r="F387" s="9"/>
      <c r="G387" s="11" t="str">
        <f aca="false">IF(C387="","",IFERROR(INDEX(Catálogo!$B$5:$B$2000,MATCH(C387,Catálogo!$A$5:$A$2000,0)),""))</f>
        <v/>
      </c>
      <c r="H387" s="11" t="str">
        <f aca="false">IF(C387="","",IFERROR(INDEX(Catálogo!$C$5:$C$2000,MATCH(C387,Catálogo!$A$5:$A$2000,0)),""))</f>
        <v/>
      </c>
      <c r="I387" s="11" t="str">
        <f aca="false">IF(D387="","",IF(D387&gt;UmbralAlarma,"Alarmante",IF(D387&gt;=UmbralRegular,"Regular","Bueno")))</f>
        <v/>
      </c>
      <c r="J387" s="11" t="str">
        <f aca="true">IF(COUNTA(A387:F387)=0,"",IF(OR(A387="",B387="",C387="",D387=""),"Faltan datos",IF(G387="","AP no está en el catálogo",IF(A387&gt;TODAY()+1,"Fecha futura",IF(OR(D387&lt;0,D387&lt;&gt;INT(D387)),"Usuarios no válidos",IF(AND(E387&lt;&gt;"",OR(E387&lt;0,E387&gt;1)),"Utilización fuera de 0-100%",IF(COUNTIFS($A$5:$A$604,A387,$B$5:$B$604,B387,$C$5:$C$604,C387)&gt;1,"Fila duplicada","OK")))))))</f>
        <v/>
      </c>
      <c r="K387" s="9"/>
    </row>
    <row r="388" customFormat="false" ht="15" hidden="false" customHeight="false" outlineLevel="0" collapsed="false">
      <c r="A388" s="7"/>
      <c r="B388" s="8"/>
      <c r="C388" s="9"/>
      <c r="D388" s="20"/>
      <c r="E388" s="10"/>
      <c r="F388" s="9"/>
      <c r="G388" s="11" t="str">
        <f aca="false">IF(C388="","",IFERROR(INDEX(Catálogo!$B$5:$B$2000,MATCH(C388,Catálogo!$A$5:$A$2000,0)),""))</f>
        <v/>
      </c>
      <c r="H388" s="11" t="str">
        <f aca="false">IF(C388="","",IFERROR(INDEX(Catálogo!$C$5:$C$2000,MATCH(C388,Catálogo!$A$5:$A$2000,0)),""))</f>
        <v/>
      </c>
      <c r="I388" s="11" t="str">
        <f aca="false">IF(D388="","",IF(D388&gt;UmbralAlarma,"Alarmante",IF(D388&gt;=UmbralRegular,"Regular","Bueno")))</f>
        <v/>
      </c>
      <c r="J388" s="11" t="str">
        <f aca="true">IF(COUNTA(A388:F388)=0,"",IF(OR(A388="",B388="",C388="",D388=""),"Faltan datos",IF(G388="","AP no está en el catálogo",IF(A388&gt;TODAY()+1,"Fecha futura",IF(OR(D388&lt;0,D388&lt;&gt;INT(D388)),"Usuarios no válidos",IF(AND(E388&lt;&gt;"",OR(E388&lt;0,E388&gt;1)),"Utilización fuera de 0-100%",IF(COUNTIFS($A$5:$A$604,A388,$B$5:$B$604,B388,$C$5:$C$604,C388)&gt;1,"Fila duplicada","OK")))))))</f>
        <v/>
      </c>
      <c r="K388" s="9"/>
    </row>
    <row r="389" customFormat="false" ht="15" hidden="false" customHeight="false" outlineLevel="0" collapsed="false">
      <c r="A389" s="7"/>
      <c r="B389" s="8"/>
      <c r="C389" s="9"/>
      <c r="D389" s="20"/>
      <c r="E389" s="10"/>
      <c r="F389" s="9"/>
      <c r="G389" s="11" t="str">
        <f aca="false">IF(C389="","",IFERROR(INDEX(Catálogo!$B$5:$B$2000,MATCH(C389,Catálogo!$A$5:$A$2000,0)),""))</f>
        <v/>
      </c>
      <c r="H389" s="11" t="str">
        <f aca="false">IF(C389="","",IFERROR(INDEX(Catálogo!$C$5:$C$2000,MATCH(C389,Catálogo!$A$5:$A$2000,0)),""))</f>
        <v/>
      </c>
      <c r="I389" s="11" t="str">
        <f aca="false">IF(D389="","",IF(D389&gt;UmbralAlarma,"Alarmante",IF(D389&gt;=UmbralRegular,"Regular","Bueno")))</f>
        <v/>
      </c>
      <c r="J389" s="11" t="str">
        <f aca="true">IF(COUNTA(A389:F389)=0,"",IF(OR(A389="",B389="",C389="",D389=""),"Faltan datos",IF(G389="","AP no está en el catálogo",IF(A389&gt;TODAY()+1,"Fecha futura",IF(OR(D389&lt;0,D389&lt;&gt;INT(D389)),"Usuarios no válidos",IF(AND(E389&lt;&gt;"",OR(E389&lt;0,E389&gt;1)),"Utilización fuera de 0-100%",IF(COUNTIFS($A$5:$A$604,A389,$B$5:$B$604,B389,$C$5:$C$604,C389)&gt;1,"Fila duplicada","OK")))))))</f>
        <v/>
      </c>
      <c r="K389" s="9"/>
    </row>
    <row r="390" customFormat="false" ht="15" hidden="false" customHeight="false" outlineLevel="0" collapsed="false">
      <c r="A390" s="7"/>
      <c r="B390" s="8"/>
      <c r="C390" s="9"/>
      <c r="D390" s="20"/>
      <c r="E390" s="10"/>
      <c r="F390" s="9"/>
      <c r="G390" s="11" t="str">
        <f aca="false">IF(C390="","",IFERROR(INDEX(Catálogo!$B$5:$B$2000,MATCH(C390,Catálogo!$A$5:$A$2000,0)),""))</f>
        <v/>
      </c>
      <c r="H390" s="11" t="str">
        <f aca="false">IF(C390="","",IFERROR(INDEX(Catálogo!$C$5:$C$2000,MATCH(C390,Catálogo!$A$5:$A$2000,0)),""))</f>
        <v/>
      </c>
      <c r="I390" s="11" t="str">
        <f aca="false">IF(D390="","",IF(D390&gt;UmbralAlarma,"Alarmante",IF(D390&gt;=UmbralRegular,"Regular","Bueno")))</f>
        <v/>
      </c>
      <c r="J390" s="11" t="str">
        <f aca="true">IF(COUNTA(A390:F390)=0,"",IF(OR(A390="",B390="",C390="",D390=""),"Faltan datos",IF(G390="","AP no está en el catálogo",IF(A390&gt;TODAY()+1,"Fecha futura",IF(OR(D390&lt;0,D390&lt;&gt;INT(D390)),"Usuarios no válidos",IF(AND(E390&lt;&gt;"",OR(E390&lt;0,E390&gt;1)),"Utilización fuera de 0-100%",IF(COUNTIFS($A$5:$A$604,A390,$B$5:$B$604,B390,$C$5:$C$604,C390)&gt;1,"Fila duplicada","OK")))))))</f>
        <v/>
      </c>
      <c r="K390" s="9"/>
    </row>
    <row r="391" customFormat="false" ht="15" hidden="false" customHeight="false" outlineLevel="0" collapsed="false">
      <c r="A391" s="7"/>
      <c r="B391" s="8"/>
      <c r="C391" s="9"/>
      <c r="D391" s="20"/>
      <c r="E391" s="10"/>
      <c r="F391" s="9"/>
      <c r="G391" s="11" t="str">
        <f aca="false">IF(C391="","",IFERROR(INDEX(Catálogo!$B$5:$B$2000,MATCH(C391,Catálogo!$A$5:$A$2000,0)),""))</f>
        <v/>
      </c>
      <c r="H391" s="11" t="str">
        <f aca="false">IF(C391="","",IFERROR(INDEX(Catálogo!$C$5:$C$2000,MATCH(C391,Catálogo!$A$5:$A$2000,0)),""))</f>
        <v/>
      </c>
      <c r="I391" s="11" t="str">
        <f aca="false">IF(D391="","",IF(D391&gt;UmbralAlarma,"Alarmante",IF(D391&gt;=UmbralRegular,"Regular","Bueno")))</f>
        <v/>
      </c>
      <c r="J391" s="11" t="str">
        <f aca="true">IF(COUNTA(A391:F391)=0,"",IF(OR(A391="",B391="",C391="",D391=""),"Faltan datos",IF(G391="","AP no está en el catálogo",IF(A391&gt;TODAY()+1,"Fecha futura",IF(OR(D391&lt;0,D391&lt;&gt;INT(D391)),"Usuarios no válidos",IF(AND(E391&lt;&gt;"",OR(E391&lt;0,E391&gt;1)),"Utilización fuera de 0-100%",IF(COUNTIFS($A$5:$A$604,A391,$B$5:$B$604,B391,$C$5:$C$604,C391)&gt;1,"Fila duplicada","OK")))))))</f>
        <v/>
      </c>
      <c r="K391" s="9"/>
    </row>
    <row r="392" customFormat="false" ht="15" hidden="false" customHeight="false" outlineLevel="0" collapsed="false">
      <c r="A392" s="7"/>
      <c r="B392" s="8"/>
      <c r="C392" s="9"/>
      <c r="D392" s="20"/>
      <c r="E392" s="10"/>
      <c r="F392" s="9"/>
      <c r="G392" s="11" t="str">
        <f aca="false">IF(C392="","",IFERROR(INDEX(Catálogo!$B$5:$B$2000,MATCH(C392,Catálogo!$A$5:$A$2000,0)),""))</f>
        <v/>
      </c>
      <c r="H392" s="11" t="str">
        <f aca="false">IF(C392="","",IFERROR(INDEX(Catálogo!$C$5:$C$2000,MATCH(C392,Catálogo!$A$5:$A$2000,0)),""))</f>
        <v/>
      </c>
      <c r="I392" s="11" t="str">
        <f aca="false">IF(D392="","",IF(D392&gt;UmbralAlarma,"Alarmante",IF(D392&gt;=UmbralRegular,"Regular","Bueno")))</f>
        <v/>
      </c>
      <c r="J392" s="11" t="str">
        <f aca="true">IF(COUNTA(A392:F392)=0,"",IF(OR(A392="",B392="",C392="",D392=""),"Faltan datos",IF(G392="","AP no está en el catálogo",IF(A392&gt;TODAY()+1,"Fecha futura",IF(OR(D392&lt;0,D392&lt;&gt;INT(D392)),"Usuarios no válidos",IF(AND(E392&lt;&gt;"",OR(E392&lt;0,E392&gt;1)),"Utilización fuera de 0-100%",IF(COUNTIFS($A$5:$A$604,A392,$B$5:$B$604,B392,$C$5:$C$604,C392)&gt;1,"Fila duplicada","OK")))))))</f>
        <v/>
      </c>
      <c r="K392" s="9"/>
    </row>
    <row r="393" customFormat="false" ht="15" hidden="false" customHeight="false" outlineLevel="0" collapsed="false">
      <c r="A393" s="7"/>
      <c r="B393" s="8"/>
      <c r="C393" s="9"/>
      <c r="D393" s="20"/>
      <c r="E393" s="10"/>
      <c r="F393" s="9"/>
      <c r="G393" s="11" t="str">
        <f aca="false">IF(C393="","",IFERROR(INDEX(Catálogo!$B$5:$B$2000,MATCH(C393,Catálogo!$A$5:$A$2000,0)),""))</f>
        <v/>
      </c>
      <c r="H393" s="11" t="str">
        <f aca="false">IF(C393="","",IFERROR(INDEX(Catálogo!$C$5:$C$2000,MATCH(C393,Catálogo!$A$5:$A$2000,0)),""))</f>
        <v/>
      </c>
      <c r="I393" s="11" t="str">
        <f aca="false">IF(D393="","",IF(D393&gt;UmbralAlarma,"Alarmante",IF(D393&gt;=UmbralRegular,"Regular","Bueno")))</f>
        <v/>
      </c>
      <c r="J393" s="11" t="str">
        <f aca="true">IF(COUNTA(A393:F393)=0,"",IF(OR(A393="",B393="",C393="",D393=""),"Faltan datos",IF(G393="","AP no está en el catálogo",IF(A393&gt;TODAY()+1,"Fecha futura",IF(OR(D393&lt;0,D393&lt;&gt;INT(D393)),"Usuarios no válidos",IF(AND(E393&lt;&gt;"",OR(E393&lt;0,E393&gt;1)),"Utilización fuera de 0-100%",IF(COUNTIFS($A$5:$A$604,A393,$B$5:$B$604,B393,$C$5:$C$604,C393)&gt;1,"Fila duplicada","OK")))))))</f>
        <v/>
      </c>
      <c r="K393" s="9"/>
    </row>
    <row r="394" customFormat="false" ht="15" hidden="false" customHeight="false" outlineLevel="0" collapsed="false">
      <c r="A394" s="7"/>
      <c r="B394" s="8"/>
      <c r="C394" s="9"/>
      <c r="D394" s="20"/>
      <c r="E394" s="10"/>
      <c r="F394" s="9"/>
      <c r="G394" s="11" t="str">
        <f aca="false">IF(C394="","",IFERROR(INDEX(Catálogo!$B$5:$B$2000,MATCH(C394,Catálogo!$A$5:$A$2000,0)),""))</f>
        <v/>
      </c>
      <c r="H394" s="11" t="str">
        <f aca="false">IF(C394="","",IFERROR(INDEX(Catálogo!$C$5:$C$2000,MATCH(C394,Catálogo!$A$5:$A$2000,0)),""))</f>
        <v/>
      </c>
      <c r="I394" s="11" t="str">
        <f aca="false">IF(D394="","",IF(D394&gt;UmbralAlarma,"Alarmante",IF(D394&gt;=UmbralRegular,"Regular","Bueno")))</f>
        <v/>
      </c>
      <c r="J394" s="11" t="str">
        <f aca="true">IF(COUNTA(A394:F394)=0,"",IF(OR(A394="",B394="",C394="",D394=""),"Faltan datos",IF(G394="","AP no está en el catálogo",IF(A394&gt;TODAY()+1,"Fecha futura",IF(OR(D394&lt;0,D394&lt;&gt;INT(D394)),"Usuarios no válidos",IF(AND(E394&lt;&gt;"",OR(E394&lt;0,E394&gt;1)),"Utilización fuera de 0-100%",IF(COUNTIFS($A$5:$A$604,A394,$B$5:$B$604,B394,$C$5:$C$604,C394)&gt;1,"Fila duplicada","OK")))))))</f>
        <v/>
      </c>
      <c r="K394" s="9"/>
    </row>
    <row r="395" customFormat="false" ht="15" hidden="false" customHeight="false" outlineLevel="0" collapsed="false">
      <c r="A395" s="7"/>
      <c r="B395" s="8"/>
      <c r="C395" s="9"/>
      <c r="D395" s="20"/>
      <c r="E395" s="10"/>
      <c r="F395" s="9"/>
      <c r="G395" s="11" t="str">
        <f aca="false">IF(C395="","",IFERROR(INDEX(Catálogo!$B$5:$B$2000,MATCH(C395,Catálogo!$A$5:$A$2000,0)),""))</f>
        <v/>
      </c>
      <c r="H395" s="11" t="str">
        <f aca="false">IF(C395="","",IFERROR(INDEX(Catálogo!$C$5:$C$2000,MATCH(C395,Catálogo!$A$5:$A$2000,0)),""))</f>
        <v/>
      </c>
      <c r="I395" s="11" t="str">
        <f aca="false">IF(D395="","",IF(D395&gt;UmbralAlarma,"Alarmante",IF(D395&gt;=UmbralRegular,"Regular","Bueno")))</f>
        <v/>
      </c>
      <c r="J395" s="11" t="str">
        <f aca="true">IF(COUNTA(A395:F395)=0,"",IF(OR(A395="",B395="",C395="",D395=""),"Faltan datos",IF(G395="","AP no está en el catálogo",IF(A395&gt;TODAY()+1,"Fecha futura",IF(OR(D395&lt;0,D395&lt;&gt;INT(D395)),"Usuarios no válidos",IF(AND(E395&lt;&gt;"",OR(E395&lt;0,E395&gt;1)),"Utilización fuera de 0-100%",IF(COUNTIFS($A$5:$A$604,A395,$B$5:$B$604,B395,$C$5:$C$604,C395)&gt;1,"Fila duplicada","OK")))))))</f>
        <v/>
      </c>
      <c r="K395" s="9"/>
    </row>
    <row r="396" customFormat="false" ht="15" hidden="false" customHeight="false" outlineLevel="0" collapsed="false">
      <c r="A396" s="7"/>
      <c r="B396" s="8"/>
      <c r="C396" s="9"/>
      <c r="D396" s="20"/>
      <c r="E396" s="10"/>
      <c r="F396" s="9"/>
      <c r="G396" s="11" t="str">
        <f aca="false">IF(C396="","",IFERROR(INDEX(Catálogo!$B$5:$B$2000,MATCH(C396,Catálogo!$A$5:$A$2000,0)),""))</f>
        <v/>
      </c>
      <c r="H396" s="11" t="str">
        <f aca="false">IF(C396="","",IFERROR(INDEX(Catálogo!$C$5:$C$2000,MATCH(C396,Catálogo!$A$5:$A$2000,0)),""))</f>
        <v/>
      </c>
      <c r="I396" s="11" t="str">
        <f aca="false">IF(D396="","",IF(D396&gt;UmbralAlarma,"Alarmante",IF(D396&gt;=UmbralRegular,"Regular","Bueno")))</f>
        <v/>
      </c>
      <c r="J396" s="11" t="str">
        <f aca="true">IF(COUNTA(A396:F396)=0,"",IF(OR(A396="",B396="",C396="",D396=""),"Faltan datos",IF(G396="","AP no está en el catálogo",IF(A396&gt;TODAY()+1,"Fecha futura",IF(OR(D396&lt;0,D396&lt;&gt;INT(D396)),"Usuarios no válidos",IF(AND(E396&lt;&gt;"",OR(E396&lt;0,E396&gt;1)),"Utilización fuera de 0-100%",IF(COUNTIFS($A$5:$A$604,A396,$B$5:$B$604,B396,$C$5:$C$604,C396)&gt;1,"Fila duplicada","OK")))))))</f>
        <v/>
      </c>
      <c r="K396" s="9"/>
    </row>
    <row r="397" customFormat="false" ht="15" hidden="false" customHeight="false" outlineLevel="0" collapsed="false">
      <c r="A397" s="7"/>
      <c r="B397" s="8"/>
      <c r="C397" s="9"/>
      <c r="D397" s="20"/>
      <c r="E397" s="10"/>
      <c r="F397" s="9"/>
      <c r="G397" s="11" t="str">
        <f aca="false">IF(C397="","",IFERROR(INDEX(Catálogo!$B$5:$B$2000,MATCH(C397,Catálogo!$A$5:$A$2000,0)),""))</f>
        <v/>
      </c>
      <c r="H397" s="11" t="str">
        <f aca="false">IF(C397="","",IFERROR(INDEX(Catálogo!$C$5:$C$2000,MATCH(C397,Catálogo!$A$5:$A$2000,0)),""))</f>
        <v/>
      </c>
      <c r="I397" s="11" t="str">
        <f aca="false">IF(D397="","",IF(D397&gt;UmbralAlarma,"Alarmante",IF(D397&gt;=UmbralRegular,"Regular","Bueno")))</f>
        <v/>
      </c>
      <c r="J397" s="11" t="str">
        <f aca="true">IF(COUNTA(A397:F397)=0,"",IF(OR(A397="",B397="",C397="",D397=""),"Faltan datos",IF(G397="","AP no está en el catálogo",IF(A397&gt;TODAY()+1,"Fecha futura",IF(OR(D397&lt;0,D397&lt;&gt;INT(D397)),"Usuarios no válidos",IF(AND(E397&lt;&gt;"",OR(E397&lt;0,E397&gt;1)),"Utilización fuera de 0-100%",IF(COUNTIFS($A$5:$A$604,A397,$B$5:$B$604,B397,$C$5:$C$604,C397)&gt;1,"Fila duplicada","OK")))))))</f>
        <v/>
      </c>
      <c r="K397" s="9"/>
    </row>
    <row r="398" customFormat="false" ht="15" hidden="false" customHeight="false" outlineLevel="0" collapsed="false">
      <c r="A398" s="7"/>
      <c r="B398" s="8"/>
      <c r="C398" s="9"/>
      <c r="D398" s="20"/>
      <c r="E398" s="10"/>
      <c r="F398" s="9"/>
      <c r="G398" s="11" t="str">
        <f aca="false">IF(C398="","",IFERROR(INDEX(Catálogo!$B$5:$B$2000,MATCH(C398,Catálogo!$A$5:$A$2000,0)),""))</f>
        <v/>
      </c>
      <c r="H398" s="11" t="str">
        <f aca="false">IF(C398="","",IFERROR(INDEX(Catálogo!$C$5:$C$2000,MATCH(C398,Catálogo!$A$5:$A$2000,0)),""))</f>
        <v/>
      </c>
      <c r="I398" s="11" t="str">
        <f aca="false">IF(D398="","",IF(D398&gt;UmbralAlarma,"Alarmante",IF(D398&gt;=UmbralRegular,"Regular","Bueno")))</f>
        <v/>
      </c>
      <c r="J398" s="11" t="str">
        <f aca="true">IF(COUNTA(A398:F398)=0,"",IF(OR(A398="",B398="",C398="",D398=""),"Faltan datos",IF(G398="","AP no está en el catálogo",IF(A398&gt;TODAY()+1,"Fecha futura",IF(OR(D398&lt;0,D398&lt;&gt;INT(D398)),"Usuarios no válidos",IF(AND(E398&lt;&gt;"",OR(E398&lt;0,E398&gt;1)),"Utilización fuera de 0-100%",IF(COUNTIFS($A$5:$A$604,A398,$B$5:$B$604,B398,$C$5:$C$604,C398)&gt;1,"Fila duplicada","OK")))))))</f>
        <v/>
      </c>
      <c r="K398" s="9"/>
    </row>
    <row r="399" customFormat="false" ht="15" hidden="false" customHeight="false" outlineLevel="0" collapsed="false">
      <c r="A399" s="7"/>
      <c r="B399" s="8"/>
      <c r="C399" s="9"/>
      <c r="D399" s="20"/>
      <c r="E399" s="10"/>
      <c r="F399" s="9"/>
      <c r="G399" s="11" t="str">
        <f aca="false">IF(C399="","",IFERROR(INDEX(Catálogo!$B$5:$B$2000,MATCH(C399,Catálogo!$A$5:$A$2000,0)),""))</f>
        <v/>
      </c>
      <c r="H399" s="11" t="str">
        <f aca="false">IF(C399="","",IFERROR(INDEX(Catálogo!$C$5:$C$2000,MATCH(C399,Catálogo!$A$5:$A$2000,0)),""))</f>
        <v/>
      </c>
      <c r="I399" s="11" t="str">
        <f aca="false">IF(D399="","",IF(D399&gt;UmbralAlarma,"Alarmante",IF(D399&gt;=UmbralRegular,"Regular","Bueno")))</f>
        <v/>
      </c>
      <c r="J399" s="11" t="str">
        <f aca="true">IF(COUNTA(A399:F399)=0,"",IF(OR(A399="",B399="",C399="",D399=""),"Faltan datos",IF(G399="","AP no está en el catálogo",IF(A399&gt;TODAY()+1,"Fecha futura",IF(OR(D399&lt;0,D399&lt;&gt;INT(D399)),"Usuarios no válidos",IF(AND(E399&lt;&gt;"",OR(E399&lt;0,E399&gt;1)),"Utilización fuera de 0-100%",IF(COUNTIFS($A$5:$A$604,A399,$B$5:$B$604,B399,$C$5:$C$604,C399)&gt;1,"Fila duplicada","OK")))))))</f>
        <v/>
      </c>
      <c r="K399" s="9"/>
    </row>
    <row r="400" customFormat="false" ht="15" hidden="false" customHeight="false" outlineLevel="0" collapsed="false">
      <c r="A400" s="7"/>
      <c r="B400" s="8"/>
      <c r="C400" s="9"/>
      <c r="D400" s="20"/>
      <c r="E400" s="10"/>
      <c r="F400" s="9"/>
      <c r="G400" s="11" t="str">
        <f aca="false">IF(C400="","",IFERROR(INDEX(Catálogo!$B$5:$B$2000,MATCH(C400,Catálogo!$A$5:$A$2000,0)),""))</f>
        <v/>
      </c>
      <c r="H400" s="11" t="str">
        <f aca="false">IF(C400="","",IFERROR(INDEX(Catálogo!$C$5:$C$2000,MATCH(C400,Catálogo!$A$5:$A$2000,0)),""))</f>
        <v/>
      </c>
      <c r="I400" s="11" t="str">
        <f aca="false">IF(D400="","",IF(D400&gt;UmbralAlarma,"Alarmante",IF(D400&gt;=UmbralRegular,"Regular","Bueno")))</f>
        <v/>
      </c>
      <c r="J400" s="11" t="str">
        <f aca="true">IF(COUNTA(A400:F400)=0,"",IF(OR(A400="",B400="",C400="",D400=""),"Faltan datos",IF(G400="","AP no está en el catálogo",IF(A400&gt;TODAY()+1,"Fecha futura",IF(OR(D400&lt;0,D400&lt;&gt;INT(D400)),"Usuarios no válidos",IF(AND(E400&lt;&gt;"",OR(E400&lt;0,E400&gt;1)),"Utilización fuera de 0-100%",IF(COUNTIFS($A$5:$A$604,A400,$B$5:$B$604,B400,$C$5:$C$604,C400)&gt;1,"Fila duplicada","OK")))))))</f>
        <v/>
      </c>
      <c r="K400" s="9"/>
    </row>
    <row r="401" customFormat="false" ht="15" hidden="false" customHeight="false" outlineLevel="0" collapsed="false">
      <c r="A401" s="7"/>
      <c r="B401" s="8"/>
      <c r="C401" s="9"/>
      <c r="D401" s="20"/>
      <c r="E401" s="10"/>
      <c r="F401" s="9"/>
      <c r="G401" s="11" t="str">
        <f aca="false">IF(C401="","",IFERROR(INDEX(Catálogo!$B$5:$B$2000,MATCH(C401,Catálogo!$A$5:$A$2000,0)),""))</f>
        <v/>
      </c>
      <c r="H401" s="11" t="str">
        <f aca="false">IF(C401="","",IFERROR(INDEX(Catálogo!$C$5:$C$2000,MATCH(C401,Catálogo!$A$5:$A$2000,0)),""))</f>
        <v/>
      </c>
      <c r="I401" s="11" t="str">
        <f aca="false">IF(D401="","",IF(D401&gt;UmbralAlarma,"Alarmante",IF(D401&gt;=UmbralRegular,"Regular","Bueno")))</f>
        <v/>
      </c>
      <c r="J401" s="11" t="str">
        <f aca="true">IF(COUNTA(A401:F401)=0,"",IF(OR(A401="",B401="",C401="",D401=""),"Faltan datos",IF(G401="","AP no está en el catálogo",IF(A401&gt;TODAY()+1,"Fecha futura",IF(OR(D401&lt;0,D401&lt;&gt;INT(D401)),"Usuarios no válidos",IF(AND(E401&lt;&gt;"",OR(E401&lt;0,E401&gt;1)),"Utilización fuera de 0-100%",IF(COUNTIFS($A$5:$A$604,A401,$B$5:$B$604,B401,$C$5:$C$604,C401)&gt;1,"Fila duplicada","OK")))))))</f>
        <v/>
      </c>
      <c r="K401" s="9"/>
    </row>
    <row r="402" customFormat="false" ht="15" hidden="false" customHeight="false" outlineLevel="0" collapsed="false">
      <c r="A402" s="7"/>
      <c r="B402" s="8"/>
      <c r="C402" s="9"/>
      <c r="D402" s="20"/>
      <c r="E402" s="10"/>
      <c r="F402" s="9"/>
      <c r="G402" s="11" t="str">
        <f aca="false">IF(C402="","",IFERROR(INDEX(Catálogo!$B$5:$B$2000,MATCH(C402,Catálogo!$A$5:$A$2000,0)),""))</f>
        <v/>
      </c>
      <c r="H402" s="11" t="str">
        <f aca="false">IF(C402="","",IFERROR(INDEX(Catálogo!$C$5:$C$2000,MATCH(C402,Catálogo!$A$5:$A$2000,0)),""))</f>
        <v/>
      </c>
      <c r="I402" s="11" t="str">
        <f aca="false">IF(D402="","",IF(D402&gt;UmbralAlarma,"Alarmante",IF(D402&gt;=UmbralRegular,"Regular","Bueno")))</f>
        <v/>
      </c>
      <c r="J402" s="11" t="str">
        <f aca="true">IF(COUNTA(A402:F402)=0,"",IF(OR(A402="",B402="",C402="",D402=""),"Faltan datos",IF(G402="","AP no está en el catálogo",IF(A402&gt;TODAY()+1,"Fecha futura",IF(OR(D402&lt;0,D402&lt;&gt;INT(D402)),"Usuarios no válidos",IF(AND(E402&lt;&gt;"",OR(E402&lt;0,E402&gt;1)),"Utilización fuera de 0-100%",IF(COUNTIFS($A$5:$A$604,A402,$B$5:$B$604,B402,$C$5:$C$604,C402)&gt;1,"Fila duplicada","OK")))))))</f>
        <v/>
      </c>
      <c r="K402" s="9"/>
    </row>
    <row r="403" customFormat="false" ht="15" hidden="false" customHeight="false" outlineLevel="0" collapsed="false">
      <c r="A403" s="7"/>
      <c r="B403" s="8"/>
      <c r="C403" s="9"/>
      <c r="D403" s="20"/>
      <c r="E403" s="10"/>
      <c r="F403" s="9"/>
      <c r="G403" s="11" t="str">
        <f aca="false">IF(C403="","",IFERROR(INDEX(Catálogo!$B$5:$B$2000,MATCH(C403,Catálogo!$A$5:$A$2000,0)),""))</f>
        <v/>
      </c>
      <c r="H403" s="11" t="str">
        <f aca="false">IF(C403="","",IFERROR(INDEX(Catálogo!$C$5:$C$2000,MATCH(C403,Catálogo!$A$5:$A$2000,0)),""))</f>
        <v/>
      </c>
      <c r="I403" s="11" t="str">
        <f aca="false">IF(D403="","",IF(D403&gt;UmbralAlarma,"Alarmante",IF(D403&gt;=UmbralRegular,"Regular","Bueno")))</f>
        <v/>
      </c>
      <c r="J403" s="11" t="str">
        <f aca="true">IF(COUNTA(A403:F403)=0,"",IF(OR(A403="",B403="",C403="",D403=""),"Faltan datos",IF(G403="","AP no está en el catálogo",IF(A403&gt;TODAY()+1,"Fecha futura",IF(OR(D403&lt;0,D403&lt;&gt;INT(D403)),"Usuarios no válidos",IF(AND(E403&lt;&gt;"",OR(E403&lt;0,E403&gt;1)),"Utilización fuera de 0-100%",IF(COUNTIFS($A$5:$A$604,A403,$B$5:$B$604,B403,$C$5:$C$604,C403)&gt;1,"Fila duplicada","OK")))))))</f>
        <v/>
      </c>
      <c r="K403" s="9"/>
    </row>
    <row r="404" customFormat="false" ht="15" hidden="false" customHeight="false" outlineLevel="0" collapsed="false">
      <c r="A404" s="7"/>
      <c r="B404" s="8"/>
      <c r="C404" s="9"/>
      <c r="D404" s="20"/>
      <c r="E404" s="10"/>
      <c r="F404" s="9"/>
      <c r="G404" s="11" t="str">
        <f aca="false">IF(C404="","",IFERROR(INDEX(Catálogo!$B$5:$B$2000,MATCH(C404,Catálogo!$A$5:$A$2000,0)),""))</f>
        <v/>
      </c>
      <c r="H404" s="11" t="str">
        <f aca="false">IF(C404="","",IFERROR(INDEX(Catálogo!$C$5:$C$2000,MATCH(C404,Catálogo!$A$5:$A$2000,0)),""))</f>
        <v/>
      </c>
      <c r="I404" s="11" t="str">
        <f aca="false">IF(D404="","",IF(D404&gt;UmbralAlarma,"Alarmante",IF(D404&gt;=UmbralRegular,"Regular","Bueno")))</f>
        <v/>
      </c>
      <c r="J404" s="11" t="str">
        <f aca="true">IF(COUNTA(A404:F404)=0,"",IF(OR(A404="",B404="",C404="",D404=""),"Faltan datos",IF(G404="","AP no está en el catálogo",IF(A404&gt;TODAY()+1,"Fecha futura",IF(OR(D404&lt;0,D404&lt;&gt;INT(D404)),"Usuarios no válidos",IF(AND(E404&lt;&gt;"",OR(E404&lt;0,E404&gt;1)),"Utilización fuera de 0-100%",IF(COUNTIFS($A$5:$A$604,A404,$B$5:$B$604,B404,$C$5:$C$604,C404)&gt;1,"Fila duplicada","OK")))))))</f>
        <v/>
      </c>
      <c r="K404" s="9"/>
    </row>
    <row r="405" customFormat="false" ht="15" hidden="false" customHeight="false" outlineLevel="0" collapsed="false">
      <c r="A405" s="7"/>
      <c r="B405" s="8"/>
      <c r="C405" s="9"/>
      <c r="D405" s="20"/>
      <c r="E405" s="10"/>
      <c r="F405" s="9"/>
      <c r="G405" s="11" t="str">
        <f aca="false">IF(C405="","",IFERROR(INDEX(Catálogo!$B$5:$B$2000,MATCH(C405,Catálogo!$A$5:$A$2000,0)),""))</f>
        <v/>
      </c>
      <c r="H405" s="11" t="str">
        <f aca="false">IF(C405="","",IFERROR(INDEX(Catálogo!$C$5:$C$2000,MATCH(C405,Catálogo!$A$5:$A$2000,0)),""))</f>
        <v/>
      </c>
      <c r="I405" s="11" t="str">
        <f aca="false">IF(D405="","",IF(D405&gt;UmbralAlarma,"Alarmante",IF(D405&gt;=UmbralRegular,"Regular","Bueno")))</f>
        <v/>
      </c>
      <c r="J405" s="11" t="str">
        <f aca="true">IF(COUNTA(A405:F405)=0,"",IF(OR(A405="",B405="",C405="",D405=""),"Faltan datos",IF(G405="","AP no está en el catálogo",IF(A405&gt;TODAY()+1,"Fecha futura",IF(OR(D405&lt;0,D405&lt;&gt;INT(D405)),"Usuarios no válidos",IF(AND(E405&lt;&gt;"",OR(E405&lt;0,E405&gt;1)),"Utilización fuera de 0-100%",IF(COUNTIFS($A$5:$A$604,A405,$B$5:$B$604,B405,$C$5:$C$604,C405)&gt;1,"Fila duplicada","OK")))))))</f>
        <v/>
      </c>
      <c r="K405" s="9"/>
    </row>
    <row r="406" customFormat="false" ht="15" hidden="false" customHeight="false" outlineLevel="0" collapsed="false">
      <c r="A406" s="7"/>
      <c r="B406" s="8"/>
      <c r="C406" s="9"/>
      <c r="D406" s="20"/>
      <c r="E406" s="10"/>
      <c r="F406" s="9"/>
      <c r="G406" s="11" t="str">
        <f aca="false">IF(C406="","",IFERROR(INDEX(Catálogo!$B$5:$B$2000,MATCH(C406,Catálogo!$A$5:$A$2000,0)),""))</f>
        <v/>
      </c>
      <c r="H406" s="11" t="str">
        <f aca="false">IF(C406="","",IFERROR(INDEX(Catálogo!$C$5:$C$2000,MATCH(C406,Catálogo!$A$5:$A$2000,0)),""))</f>
        <v/>
      </c>
      <c r="I406" s="11" t="str">
        <f aca="false">IF(D406="","",IF(D406&gt;UmbralAlarma,"Alarmante",IF(D406&gt;=UmbralRegular,"Regular","Bueno")))</f>
        <v/>
      </c>
      <c r="J406" s="11" t="str">
        <f aca="true">IF(COUNTA(A406:F406)=0,"",IF(OR(A406="",B406="",C406="",D406=""),"Faltan datos",IF(G406="","AP no está en el catálogo",IF(A406&gt;TODAY()+1,"Fecha futura",IF(OR(D406&lt;0,D406&lt;&gt;INT(D406)),"Usuarios no válidos",IF(AND(E406&lt;&gt;"",OR(E406&lt;0,E406&gt;1)),"Utilización fuera de 0-100%",IF(COUNTIFS($A$5:$A$604,A406,$B$5:$B$604,B406,$C$5:$C$604,C406)&gt;1,"Fila duplicada","OK")))))))</f>
        <v/>
      </c>
      <c r="K406" s="9"/>
    </row>
    <row r="407" customFormat="false" ht="15" hidden="false" customHeight="false" outlineLevel="0" collapsed="false">
      <c r="A407" s="7"/>
      <c r="B407" s="8"/>
      <c r="C407" s="9"/>
      <c r="D407" s="20"/>
      <c r="E407" s="10"/>
      <c r="F407" s="9"/>
      <c r="G407" s="11" t="str">
        <f aca="false">IF(C407="","",IFERROR(INDEX(Catálogo!$B$5:$B$2000,MATCH(C407,Catálogo!$A$5:$A$2000,0)),""))</f>
        <v/>
      </c>
      <c r="H407" s="11" t="str">
        <f aca="false">IF(C407="","",IFERROR(INDEX(Catálogo!$C$5:$C$2000,MATCH(C407,Catálogo!$A$5:$A$2000,0)),""))</f>
        <v/>
      </c>
      <c r="I407" s="11" t="str">
        <f aca="false">IF(D407="","",IF(D407&gt;UmbralAlarma,"Alarmante",IF(D407&gt;=UmbralRegular,"Regular","Bueno")))</f>
        <v/>
      </c>
      <c r="J407" s="11" t="str">
        <f aca="true">IF(COUNTA(A407:F407)=0,"",IF(OR(A407="",B407="",C407="",D407=""),"Faltan datos",IF(G407="","AP no está en el catálogo",IF(A407&gt;TODAY()+1,"Fecha futura",IF(OR(D407&lt;0,D407&lt;&gt;INT(D407)),"Usuarios no válidos",IF(AND(E407&lt;&gt;"",OR(E407&lt;0,E407&gt;1)),"Utilización fuera de 0-100%",IF(COUNTIFS($A$5:$A$604,A407,$B$5:$B$604,B407,$C$5:$C$604,C407)&gt;1,"Fila duplicada","OK")))))))</f>
        <v/>
      </c>
      <c r="K407" s="9"/>
    </row>
    <row r="408" customFormat="false" ht="15" hidden="false" customHeight="false" outlineLevel="0" collapsed="false">
      <c r="A408" s="7"/>
      <c r="B408" s="8"/>
      <c r="C408" s="9"/>
      <c r="D408" s="20"/>
      <c r="E408" s="10"/>
      <c r="F408" s="9"/>
      <c r="G408" s="11" t="str">
        <f aca="false">IF(C408="","",IFERROR(INDEX(Catálogo!$B$5:$B$2000,MATCH(C408,Catálogo!$A$5:$A$2000,0)),""))</f>
        <v/>
      </c>
      <c r="H408" s="11" t="str">
        <f aca="false">IF(C408="","",IFERROR(INDEX(Catálogo!$C$5:$C$2000,MATCH(C408,Catálogo!$A$5:$A$2000,0)),""))</f>
        <v/>
      </c>
      <c r="I408" s="11" t="str">
        <f aca="false">IF(D408="","",IF(D408&gt;UmbralAlarma,"Alarmante",IF(D408&gt;=UmbralRegular,"Regular","Bueno")))</f>
        <v/>
      </c>
      <c r="J408" s="11" t="str">
        <f aca="true">IF(COUNTA(A408:F408)=0,"",IF(OR(A408="",B408="",C408="",D408=""),"Faltan datos",IF(G408="","AP no está en el catálogo",IF(A408&gt;TODAY()+1,"Fecha futura",IF(OR(D408&lt;0,D408&lt;&gt;INT(D408)),"Usuarios no válidos",IF(AND(E408&lt;&gt;"",OR(E408&lt;0,E408&gt;1)),"Utilización fuera de 0-100%",IF(COUNTIFS($A$5:$A$604,A408,$B$5:$B$604,B408,$C$5:$C$604,C408)&gt;1,"Fila duplicada","OK")))))))</f>
        <v/>
      </c>
      <c r="K408" s="9"/>
    </row>
    <row r="409" customFormat="false" ht="15" hidden="false" customHeight="false" outlineLevel="0" collapsed="false">
      <c r="A409" s="7"/>
      <c r="B409" s="8"/>
      <c r="C409" s="9"/>
      <c r="D409" s="20"/>
      <c r="E409" s="10"/>
      <c r="F409" s="9"/>
      <c r="G409" s="11" t="str">
        <f aca="false">IF(C409="","",IFERROR(INDEX(Catálogo!$B$5:$B$2000,MATCH(C409,Catálogo!$A$5:$A$2000,0)),""))</f>
        <v/>
      </c>
      <c r="H409" s="11" t="str">
        <f aca="false">IF(C409="","",IFERROR(INDEX(Catálogo!$C$5:$C$2000,MATCH(C409,Catálogo!$A$5:$A$2000,0)),""))</f>
        <v/>
      </c>
      <c r="I409" s="11" t="str">
        <f aca="false">IF(D409="","",IF(D409&gt;UmbralAlarma,"Alarmante",IF(D409&gt;=UmbralRegular,"Regular","Bueno")))</f>
        <v/>
      </c>
      <c r="J409" s="11" t="str">
        <f aca="true">IF(COUNTA(A409:F409)=0,"",IF(OR(A409="",B409="",C409="",D409=""),"Faltan datos",IF(G409="","AP no está en el catálogo",IF(A409&gt;TODAY()+1,"Fecha futura",IF(OR(D409&lt;0,D409&lt;&gt;INT(D409)),"Usuarios no válidos",IF(AND(E409&lt;&gt;"",OR(E409&lt;0,E409&gt;1)),"Utilización fuera de 0-100%",IF(COUNTIFS($A$5:$A$604,A409,$B$5:$B$604,B409,$C$5:$C$604,C409)&gt;1,"Fila duplicada","OK")))))))</f>
        <v/>
      </c>
      <c r="K409" s="9"/>
    </row>
    <row r="410" customFormat="false" ht="15" hidden="false" customHeight="false" outlineLevel="0" collapsed="false">
      <c r="A410" s="7"/>
      <c r="B410" s="8"/>
      <c r="C410" s="9"/>
      <c r="D410" s="20"/>
      <c r="E410" s="10"/>
      <c r="F410" s="9"/>
      <c r="G410" s="11" t="str">
        <f aca="false">IF(C410="","",IFERROR(INDEX(Catálogo!$B$5:$B$2000,MATCH(C410,Catálogo!$A$5:$A$2000,0)),""))</f>
        <v/>
      </c>
      <c r="H410" s="11" t="str">
        <f aca="false">IF(C410="","",IFERROR(INDEX(Catálogo!$C$5:$C$2000,MATCH(C410,Catálogo!$A$5:$A$2000,0)),""))</f>
        <v/>
      </c>
      <c r="I410" s="11" t="str">
        <f aca="false">IF(D410="","",IF(D410&gt;UmbralAlarma,"Alarmante",IF(D410&gt;=UmbralRegular,"Regular","Bueno")))</f>
        <v/>
      </c>
      <c r="J410" s="11" t="str">
        <f aca="true">IF(COUNTA(A410:F410)=0,"",IF(OR(A410="",B410="",C410="",D410=""),"Faltan datos",IF(G410="","AP no está en el catálogo",IF(A410&gt;TODAY()+1,"Fecha futura",IF(OR(D410&lt;0,D410&lt;&gt;INT(D410)),"Usuarios no válidos",IF(AND(E410&lt;&gt;"",OR(E410&lt;0,E410&gt;1)),"Utilización fuera de 0-100%",IF(COUNTIFS($A$5:$A$604,A410,$B$5:$B$604,B410,$C$5:$C$604,C410)&gt;1,"Fila duplicada","OK")))))))</f>
        <v/>
      </c>
      <c r="K410" s="9"/>
    </row>
    <row r="411" customFormat="false" ht="15" hidden="false" customHeight="false" outlineLevel="0" collapsed="false">
      <c r="A411" s="7"/>
      <c r="B411" s="8"/>
      <c r="C411" s="9"/>
      <c r="D411" s="20"/>
      <c r="E411" s="10"/>
      <c r="F411" s="9"/>
      <c r="G411" s="11" t="str">
        <f aca="false">IF(C411="","",IFERROR(INDEX(Catálogo!$B$5:$B$2000,MATCH(C411,Catálogo!$A$5:$A$2000,0)),""))</f>
        <v/>
      </c>
      <c r="H411" s="11" t="str">
        <f aca="false">IF(C411="","",IFERROR(INDEX(Catálogo!$C$5:$C$2000,MATCH(C411,Catálogo!$A$5:$A$2000,0)),""))</f>
        <v/>
      </c>
      <c r="I411" s="11" t="str">
        <f aca="false">IF(D411="","",IF(D411&gt;UmbralAlarma,"Alarmante",IF(D411&gt;=UmbralRegular,"Regular","Bueno")))</f>
        <v/>
      </c>
      <c r="J411" s="11" t="str">
        <f aca="true">IF(COUNTA(A411:F411)=0,"",IF(OR(A411="",B411="",C411="",D411=""),"Faltan datos",IF(G411="","AP no está en el catálogo",IF(A411&gt;TODAY()+1,"Fecha futura",IF(OR(D411&lt;0,D411&lt;&gt;INT(D411)),"Usuarios no válidos",IF(AND(E411&lt;&gt;"",OR(E411&lt;0,E411&gt;1)),"Utilización fuera de 0-100%",IF(COUNTIFS($A$5:$A$604,A411,$B$5:$B$604,B411,$C$5:$C$604,C411)&gt;1,"Fila duplicada","OK")))))))</f>
        <v/>
      </c>
      <c r="K411" s="9"/>
    </row>
    <row r="412" customFormat="false" ht="15" hidden="false" customHeight="false" outlineLevel="0" collapsed="false">
      <c r="A412" s="7"/>
      <c r="B412" s="8"/>
      <c r="C412" s="9"/>
      <c r="D412" s="20"/>
      <c r="E412" s="10"/>
      <c r="F412" s="9"/>
      <c r="G412" s="11" t="str">
        <f aca="false">IF(C412="","",IFERROR(INDEX(Catálogo!$B$5:$B$2000,MATCH(C412,Catálogo!$A$5:$A$2000,0)),""))</f>
        <v/>
      </c>
      <c r="H412" s="11" t="str">
        <f aca="false">IF(C412="","",IFERROR(INDEX(Catálogo!$C$5:$C$2000,MATCH(C412,Catálogo!$A$5:$A$2000,0)),""))</f>
        <v/>
      </c>
      <c r="I412" s="11" t="str">
        <f aca="false">IF(D412="","",IF(D412&gt;UmbralAlarma,"Alarmante",IF(D412&gt;=UmbralRegular,"Regular","Bueno")))</f>
        <v/>
      </c>
      <c r="J412" s="11" t="str">
        <f aca="true">IF(COUNTA(A412:F412)=0,"",IF(OR(A412="",B412="",C412="",D412=""),"Faltan datos",IF(G412="","AP no está en el catálogo",IF(A412&gt;TODAY()+1,"Fecha futura",IF(OR(D412&lt;0,D412&lt;&gt;INT(D412)),"Usuarios no válidos",IF(AND(E412&lt;&gt;"",OR(E412&lt;0,E412&gt;1)),"Utilización fuera de 0-100%",IF(COUNTIFS($A$5:$A$604,A412,$B$5:$B$604,B412,$C$5:$C$604,C412)&gt;1,"Fila duplicada","OK")))))))</f>
        <v/>
      </c>
      <c r="K412" s="9"/>
    </row>
    <row r="413" customFormat="false" ht="15" hidden="false" customHeight="false" outlineLevel="0" collapsed="false">
      <c r="A413" s="7"/>
      <c r="B413" s="8"/>
      <c r="C413" s="9"/>
      <c r="D413" s="20"/>
      <c r="E413" s="10"/>
      <c r="F413" s="9"/>
      <c r="G413" s="11" t="str">
        <f aca="false">IF(C413="","",IFERROR(INDEX(Catálogo!$B$5:$B$2000,MATCH(C413,Catálogo!$A$5:$A$2000,0)),""))</f>
        <v/>
      </c>
      <c r="H413" s="11" t="str">
        <f aca="false">IF(C413="","",IFERROR(INDEX(Catálogo!$C$5:$C$2000,MATCH(C413,Catálogo!$A$5:$A$2000,0)),""))</f>
        <v/>
      </c>
      <c r="I413" s="11" t="str">
        <f aca="false">IF(D413="","",IF(D413&gt;UmbralAlarma,"Alarmante",IF(D413&gt;=UmbralRegular,"Regular","Bueno")))</f>
        <v/>
      </c>
      <c r="J413" s="11" t="str">
        <f aca="true">IF(COUNTA(A413:F413)=0,"",IF(OR(A413="",B413="",C413="",D413=""),"Faltan datos",IF(G413="","AP no está en el catálogo",IF(A413&gt;TODAY()+1,"Fecha futura",IF(OR(D413&lt;0,D413&lt;&gt;INT(D413)),"Usuarios no válidos",IF(AND(E413&lt;&gt;"",OR(E413&lt;0,E413&gt;1)),"Utilización fuera de 0-100%",IF(COUNTIFS($A$5:$A$604,A413,$B$5:$B$604,B413,$C$5:$C$604,C413)&gt;1,"Fila duplicada","OK")))))))</f>
        <v/>
      </c>
      <c r="K413" s="9"/>
    </row>
    <row r="414" customFormat="false" ht="15" hidden="false" customHeight="false" outlineLevel="0" collapsed="false">
      <c r="A414" s="7"/>
      <c r="B414" s="8"/>
      <c r="C414" s="9"/>
      <c r="D414" s="20"/>
      <c r="E414" s="10"/>
      <c r="F414" s="9"/>
      <c r="G414" s="11" t="str">
        <f aca="false">IF(C414="","",IFERROR(INDEX(Catálogo!$B$5:$B$2000,MATCH(C414,Catálogo!$A$5:$A$2000,0)),""))</f>
        <v/>
      </c>
      <c r="H414" s="11" t="str">
        <f aca="false">IF(C414="","",IFERROR(INDEX(Catálogo!$C$5:$C$2000,MATCH(C414,Catálogo!$A$5:$A$2000,0)),""))</f>
        <v/>
      </c>
      <c r="I414" s="11" t="str">
        <f aca="false">IF(D414="","",IF(D414&gt;UmbralAlarma,"Alarmante",IF(D414&gt;=UmbralRegular,"Regular","Bueno")))</f>
        <v/>
      </c>
      <c r="J414" s="11" t="str">
        <f aca="true">IF(COUNTA(A414:F414)=0,"",IF(OR(A414="",B414="",C414="",D414=""),"Faltan datos",IF(G414="","AP no está en el catálogo",IF(A414&gt;TODAY()+1,"Fecha futura",IF(OR(D414&lt;0,D414&lt;&gt;INT(D414)),"Usuarios no válidos",IF(AND(E414&lt;&gt;"",OR(E414&lt;0,E414&gt;1)),"Utilización fuera de 0-100%",IF(COUNTIFS($A$5:$A$604,A414,$B$5:$B$604,B414,$C$5:$C$604,C414)&gt;1,"Fila duplicada","OK")))))))</f>
        <v/>
      </c>
      <c r="K414" s="9"/>
    </row>
    <row r="415" customFormat="false" ht="15" hidden="false" customHeight="false" outlineLevel="0" collapsed="false">
      <c r="A415" s="7"/>
      <c r="B415" s="8"/>
      <c r="C415" s="9"/>
      <c r="D415" s="20"/>
      <c r="E415" s="10"/>
      <c r="F415" s="9"/>
      <c r="G415" s="11" t="str">
        <f aca="false">IF(C415="","",IFERROR(INDEX(Catálogo!$B$5:$B$2000,MATCH(C415,Catálogo!$A$5:$A$2000,0)),""))</f>
        <v/>
      </c>
      <c r="H415" s="11" t="str">
        <f aca="false">IF(C415="","",IFERROR(INDEX(Catálogo!$C$5:$C$2000,MATCH(C415,Catálogo!$A$5:$A$2000,0)),""))</f>
        <v/>
      </c>
      <c r="I415" s="11" t="str">
        <f aca="false">IF(D415="","",IF(D415&gt;UmbralAlarma,"Alarmante",IF(D415&gt;=UmbralRegular,"Regular","Bueno")))</f>
        <v/>
      </c>
      <c r="J415" s="11" t="str">
        <f aca="true">IF(COUNTA(A415:F415)=0,"",IF(OR(A415="",B415="",C415="",D415=""),"Faltan datos",IF(G415="","AP no está en el catálogo",IF(A415&gt;TODAY()+1,"Fecha futura",IF(OR(D415&lt;0,D415&lt;&gt;INT(D415)),"Usuarios no válidos",IF(AND(E415&lt;&gt;"",OR(E415&lt;0,E415&gt;1)),"Utilización fuera de 0-100%",IF(COUNTIFS($A$5:$A$604,A415,$B$5:$B$604,B415,$C$5:$C$604,C415)&gt;1,"Fila duplicada","OK")))))))</f>
        <v/>
      </c>
      <c r="K415" s="9"/>
    </row>
    <row r="416" customFormat="false" ht="15" hidden="false" customHeight="false" outlineLevel="0" collapsed="false">
      <c r="A416" s="7"/>
      <c r="B416" s="8"/>
      <c r="C416" s="9"/>
      <c r="D416" s="20"/>
      <c r="E416" s="10"/>
      <c r="F416" s="9"/>
      <c r="G416" s="11" t="str">
        <f aca="false">IF(C416="","",IFERROR(INDEX(Catálogo!$B$5:$B$2000,MATCH(C416,Catálogo!$A$5:$A$2000,0)),""))</f>
        <v/>
      </c>
      <c r="H416" s="11" t="str">
        <f aca="false">IF(C416="","",IFERROR(INDEX(Catálogo!$C$5:$C$2000,MATCH(C416,Catálogo!$A$5:$A$2000,0)),""))</f>
        <v/>
      </c>
      <c r="I416" s="11" t="str">
        <f aca="false">IF(D416="","",IF(D416&gt;UmbralAlarma,"Alarmante",IF(D416&gt;=UmbralRegular,"Regular","Bueno")))</f>
        <v/>
      </c>
      <c r="J416" s="11" t="str">
        <f aca="true">IF(COUNTA(A416:F416)=0,"",IF(OR(A416="",B416="",C416="",D416=""),"Faltan datos",IF(G416="","AP no está en el catálogo",IF(A416&gt;TODAY()+1,"Fecha futura",IF(OR(D416&lt;0,D416&lt;&gt;INT(D416)),"Usuarios no válidos",IF(AND(E416&lt;&gt;"",OR(E416&lt;0,E416&gt;1)),"Utilización fuera de 0-100%",IF(COUNTIFS($A$5:$A$604,A416,$B$5:$B$604,B416,$C$5:$C$604,C416)&gt;1,"Fila duplicada","OK")))))))</f>
        <v/>
      </c>
      <c r="K416" s="9"/>
    </row>
    <row r="417" customFormat="false" ht="15" hidden="false" customHeight="false" outlineLevel="0" collapsed="false">
      <c r="A417" s="7"/>
      <c r="B417" s="8"/>
      <c r="C417" s="9"/>
      <c r="D417" s="20"/>
      <c r="E417" s="10"/>
      <c r="F417" s="9"/>
      <c r="G417" s="11" t="str">
        <f aca="false">IF(C417="","",IFERROR(INDEX(Catálogo!$B$5:$B$2000,MATCH(C417,Catálogo!$A$5:$A$2000,0)),""))</f>
        <v/>
      </c>
      <c r="H417" s="11" t="str">
        <f aca="false">IF(C417="","",IFERROR(INDEX(Catálogo!$C$5:$C$2000,MATCH(C417,Catálogo!$A$5:$A$2000,0)),""))</f>
        <v/>
      </c>
      <c r="I417" s="11" t="str">
        <f aca="false">IF(D417="","",IF(D417&gt;UmbralAlarma,"Alarmante",IF(D417&gt;=UmbralRegular,"Regular","Bueno")))</f>
        <v/>
      </c>
      <c r="J417" s="11" t="str">
        <f aca="true">IF(COUNTA(A417:F417)=0,"",IF(OR(A417="",B417="",C417="",D417=""),"Faltan datos",IF(G417="","AP no está en el catálogo",IF(A417&gt;TODAY()+1,"Fecha futura",IF(OR(D417&lt;0,D417&lt;&gt;INT(D417)),"Usuarios no válidos",IF(AND(E417&lt;&gt;"",OR(E417&lt;0,E417&gt;1)),"Utilización fuera de 0-100%",IF(COUNTIFS($A$5:$A$604,A417,$B$5:$B$604,B417,$C$5:$C$604,C417)&gt;1,"Fila duplicada","OK")))))))</f>
        <v/>
      </c>
      <c r="K417" s="9"/>
    </row>
    <row r="418" customFormat="false" ht="15" hidden="false" customHeight="false" outlineLevel="0" collapsed="false">
      <c r="A418" s="7"/>
      <c r="B418" s="8"/>
      <c r="C418" s="9"/>
      <c r="D418" s="20"/>
      <c r="E418" s="10"/>
      <c r="F418" s="9"/>
      <c r="G418" s="11" t="str">
        <f aca="false">IF(C418="","",IFERROR(INDEX(Catálogo!$B$5:$B$2000,MATCH(C418,Catálogo!$A$5:$A$2000,0)),""))</f>
        <v/>
      </c>
      <c r="H418" s="11" t="str">
        <f aca="false">IF(C418="","",IFERROR(INDEX(Catálogo!$C$5:$C$2000,MATCH(C418,Catálogo!$A$5:$A$2000,0)),""))</f>
        <v/>
      </c>
      <c r="I418" s="11" t="str">
        <f aca="false">IF(D418="","",IF(D418&gt;UmbralAlarma,"Alarmante",IF(D418&gt;=UmbralRegular,"Regular","Bueno")))</f>
        <v/>
      </c>
      <c r="J418" s="11" t="str">
        <f aca="true">IF(COUNTA(A418:F418)=0,"",IF(OR(A418="",B418="",C418="",D418=""),"Faltan datos",IF(G418="","AP no está en el catálogo",IF(A418&gt;TODAY()+1,"Fecha futura",IF(OR(D418&lt;0,D418&lt;&gt;INT(D418)),"Usuarios no válidos",IF(AND(E418&lt;&gt;"",OR(E418&lt;0,E418&gt;1)),"Utilización fuera de 0-100%",IF(COUNTIFS($A$5:$A$604,A418,$B$5:$B$604,B418,$C$5:$C$604,C418)&gt;1,"Fila duplicada","OK")))))))</f>
        <v/>
      </c>
      <c r="K418" s="9"/>
    </row>
    <row r="419" customFormat="false" ht="15" hidden="false" customHeight="false" outlineLevel="0" collapsed="false">
      <c r="A419" s="7"/>
      <c r="B419" s="8"/>
      <c r="C419" s="9"/>
      <c r="D419" s="20"/>
      <c r="E419" s="10"/>
      <c r="F419" s="9"/>
      <c r="G419" s="11" t="str">
        <f aca="false">IF(C419="","",IFERROR(INDEX(Catálogo!$B$5:$B$2000,MATCH(C419,Catálogo!$A$5:$A$2000,0)),""))</f>
        <v/>
      </c>
      <c r="H419" s="11" t="str">
        <f aca="false">IF(C419="","",IFERROR(INDEX(Catálogo!$C$5:$C$2000,MATCH(C419,Catálogo!$A$5:$A$2000,0)),""))</f>
        <v/>
      </c>
      <c r="I419" s="11" t="str">
        <f aca="false">IF(D419="","",IF(D419&gt;UmbralAlarma,"Alarmante",IF(D419&gt;=UmbralRegular,"Regular","Bueno")))</f>
        <v/>
      </c>
      <c r="J419" s="11" t="str">
        <f aca="true">IF(COUNTA(A419:F419)=0,"",IF(OR(A419="",B419="",C419="",D419=""),"Faltan datos",IF(G419="","AP no está en el catálogo",IF(A419&gt;TODAY()+1,"Fecha futura",IF(OR(D419&lt;0,D419&lt;&gt;INT(D419)),"Usuarios no válidos",IF(AND(E419&lt;&gt;"",OR(E419&lt;0,E419&gt;1)),"Utilización fuera de 0-100%",IF(COUNTIFS($A$5:$A$604,A419,$B$5:$B$604,B419,$C$5:$C$604,C419)&gt;1,"Fila duplicada","OK")))))))</f>
        <v/>
      </c>
      <c r="K419" s="9"/>
    </row>
    <row r="420" customFormat="false" ht="15" hidden="false" customHeight="false" outlineLevel="0" collapsed="false">
      <c r="A420" s="7"/>
      <c r="B420" s="8"/>
      <c r="C420" s="9"/>
      <c r="D420" s="20"/>
      <c r="E420" s="10"/>
      <c r="F420" s="9"/>
      <c r="G420" s="11" t="str">
        <f aca="false">IF(C420="","",IFERROR(INDEX(Catálogo!$B$5:$B$2000,MATCH(C420,Catálogo!$A$5:$A$2000,0)),""))</f>
        <v/>
      </c>
      <c r="H420" s="11" t="str">
        <f aca="false">IF(C420="","",IFERROR(INDEX(Catálogo!$C$5:$C$2000,MATCH(C420,Catálogo!$A$5:$A$2000,0)),""))</f>
        <v/>
      </c>
      <c r="I420" s="11" t="str">
        <f aca="false">IF(D420="","",IF(D420&gt;UmbralAlarma,"Alarmante",IF(D420&gt;=UmbralRegular,"Regular","Bueno")))</f>
        <v/>
      </c>
      <c r="J420" s="11" t="str">
        <f aca="true">IF(COUNTA(A420:F420)=0,"",IF(OR(A420="",B420="",C420="",D420=""),"Faltan datos",IF(G420="","AP no está en el catálogo",IF(A420&gt;TODAY()+1,"Fecha futura",IF(OR(D420&lt;0,D420&lt;&gt;INT(D420)),"Usuarios no válidos",IF(AND(E420&lt;&gt;"",OR(E420&lt;0,E420&gt;1)),"Utilización fuera de 0-100%",IF(COUNTIFS($A$5:$A$604,A420,$B$5:$B$604,B420,$C$5:$C$604,C420)&gt;1,"Fila duplicada","OK")))))))</f>
        <v/>
      </c>
      <c r="K420" s="9"/>
    </row>
    <row r="421" customFormat="false" ht="15" hidden="false" customHeight="false" outlineLevel="0" collapsed="false">
      <c r="A421" s="7"/>
      <c r="B421" s="8"/>
      <c r="C421" s="9"/>
      <c r="D421" s="20"/>
      <c r="E421" s="10"/>
      <c r="F421" s="9"/>
      <c r="G421" s="11" t="str">
        <f aca="false">IF(C421="","",IFERROR(INDEX(Catálogo!$B$5:$B$2000,MATCH(C421,Catálogo!$A$5:$A$2000,0)),""))</f>
        <v/>
      </c>
      <c r="H421" s="11" t="str">
        <f aca="false">IF(C421="","",IFERROR(INDEX(Catálogo!$C$5:$C$2000,MATCH(C421,Catálogo!$A$5:$A$2000,0)),""))</f>
        <v/>
      </c>
      <c r="I421" s="11" t="str">
        <f aca="false">IF(D421="","",IF(D421&gt;UmbralAlarma,"Alarmante",IF(D421&gt;=UmbralRegular,"Regular","Bueno")))</f>
        <v/>
      </c>
      <c r="J421" s="11" t="str">
        <f aca="true">IF(COUNTA(A421:F421)=0,"",IF(OR(A421="",B421="",C421="",D421=""),"Faltan datos",IF(G421="","AP no está en el catálogo",IF(A421&gt;TODAY()+1,"Fecha futura",IF(OR(D421&lt;0,D421&lt;&gt;INT(D421)),"Usuarios no válidos",IF(AND(E421&lt;&gt;"",OR(E421&lt;0,E421&gt;1)),"Utilización fuera de 0-100%",IF(COUNTIFS($A$5:$A$604,A421,$B$5:$B$604,B421,$C$5:$C$604,C421)&gt;1,"Fila duplicada","OK")))))))</f>
        <v/>
      </c>
      <c r="K421" s="9"/>
    </row>
    <row r="422" customFormat="false" ht="15" hidden="false" customHeight="false" outlineLevel="0" collapsed="false">
      <c r="A422" s="7"/>
      <c r="B422" s="8"/>
      <c r="C422" s="9"/>
      <c r="D422" s="20"/>
      <c r="E422" s="10"/>
      <c r="F422" s="9"/>
      <c r="G422" s="11" t="str">
        <f aca="false">IF(C422="","",IFERROR(INDEX(Catálogo!$B$5:$B$2000,MATCH(C422,Catálogo!$A$5:$A$2000,0)),""))</f>
        <v/>
      </c>
      <c r="H422" s="11" t="str">
        <f aca="false">IF(C422="","",IFERROR(INDEX(Catálogo!$C$5:$C$2000,MATCH(C422,Catálogo!$A$5:$A$2000,0)),""))</f>
        <v/>
      </c>
      <c r="I422" s="11" t="str">
        <f aca="false">IF(D422="","",IF(D422&gt;UmbralAlarma,"Alarmante",IF(D422&gt;=UmbralRegular,"Regular","Bueno")))</f>
        <v/>
      </c>
      <c r="J422" s="11" t="str">
        <f aca="true">IF(COUNTA(A422:F422)=0,"",IF(OR(A422="",B422="",C422="",D422=""),"Faltan datos",IF(G422="","AP no está en el catálogo",IF(A422&gt;TODAY()+1,"Fecha futura",IF(OR(D422&lt;0,D422&lt;&gt;INT(D422)),"Usuarios no válidos",IF(AND(E422&lt;&gt;"",OR(E422&lt;0,E422&gt;1)),"Utilización fuera de 0-100%",IF(COUNTIFS($A$5:$A$604,A422,$B$5:$B$604,B422,$C$5:$C$604,C422)&gt;1,"Fila duplicada","OK")))))))</f>
        <v/>
      </c>
      <c r="K422" s="9"/>
    </row>
    <row r="423" customFormat="false" ht="15" hidden="false" customHeight="false" outlineLevel="0" collapsed="false">
      <c r="A423" s="7"/>
      <c r="B423" s="8"/>
      <c r="C423" s="9"/>
      <c r="D423" s="20"/>
      <c r="E423" s="10"/>
      <c r="F423" s="9"/>
      <c r="G423" s="11" t="str">
        <f aca="false">IF(C423="","",IFERROR(INDEX(Catálogo!$B$5:$B$2000,MATCH(C423,Catálogo!$A$5:$A$2000,0)),""))</f>
        <v/>
      </c>
      <c r="H423" s="11" t="str">
        <f aca="false">IF(C423="","",IFERROR(INDEX(Catálogo!$C$5:$C$2000,MATCH(C423,Catálogo!$A$5:$A$2000,0)),""))</f>
        <v/>
      </c>
      <c r="I423" s="11" t="str">
        <f aca="false">IF(D423="","",IF(D423&gt;UmbralAlarma,"Alarmante",IF(D423&gt;=UmbralRegular,"Regular","Bueno")))</f>
        <v/>
      </c>
      <c r="J423" s="11" t="str">
        <f aca="true">IF(COUNTA(A423:F423)=0,"",IF(OR(A423="",B423="",C423="",D423=""),"Faltan datos",IF(G423="","AP no está en el catálogo",IF(A423&gt;TODAY()+1,"Fecha futura",IF(OR(D423&lt;0,D423&lt;&gt;INT(D423)),"Usuarios no válidos",IF(AND(E423&lt;&gt;"",OR(E423&lt;0,E423&gt;1)),"Utilización fuera de 0-100%",IF(COUNTIFS($A$5:$A$604,A423,$B$5:$B$604,B423,$C$5:$C$604,C423)&gt;1,"Fila duplicada","OK")))))))</f>
        <v/>
      </c>
      <c r="K423" s="9"/>
    </row>
    <row r="424" customFormat="false" ht="15" hidden="false" customHeight="false" outlineLevel="0" collapsed="false">
      <c r="A424" s="7"/>
      <c r="B424" s="8"/>
      <c r="C424" s="9"/>
      <c r="D424" s="20"/>
      <c r="E424" s="10"/>
      <c r="F424" s="9"/>
      <c r="G424" s="11" t="str">
        <f aca="false">IF(C424="","",IFERROR(INDEX(Catálogo!$B$5:$B$2000,MATCH(C424,Catálogo!$A$5:$A$2000,0)),""))</f>
        <v/>
      </c>
      <c r="H424" s="11" t="str">
        <f aca="false">IF(C424="","",IFERROR(INDEX(Catálogo!$C$5:$C$2000,MATCH(C424,Catálogo!$A$5:$A$2000,0)),""))</f>
        <v/>
      </c>
      <c r="I424" s="11" t="str">
        <f aca="false">IF(D424="","",IF(D424&gt;UmbralAlarma,"Alarmante",IF(D424&gt;=UmbralRegular,"Regular","Bueno")))</f>
        <v/>
      </c>
      <c r="J424" s="11" t="str">
        <f aca="true">IF(COUNTA(A424:F424)=0,"",IF(OR(A424="",B424="",C424="",D424=""),"Faltan datos",IF(G424="","AP no está en el catálogo",IF(A424&gt;TODAY()+1,"Fecha futura",IF(OR(D424&lt;0,D424&lt;&gt;INT(D424)),"Usuarios no válidos",IF(AND(E424&lt;&gt;"",OR(E424&lt;0,E424&gt;1)),"Utilización fuera de 0-100%",IF(COUNTIFS($A$5:$A$604,A424,$B$5:$B$604,B424,$C$5:$C$604,C424)&gt;1,"Fila duplicada","OK")))))))</f>
        <v/>
      </c>
      <c r="K424" s="9"/>
    </row>
    <row r="425" customFormat="false" ht="15" hidden="false" customHeight="false" outlineLevel="0" collapsed="false">
      <c r="A425" s="7"/>
      <c r="B425" s="8"/>
      <c r="C425" s="9"/>
      <c r="D425" s="20"/>
      <c r="E425" s="10"/>
      <c r="F425" s="9"/>
      <c r="G425" s="11" t="str">
        <f aca="false">IF(C425="","",IFERROR(INDEX(Catálogo!$B$5:$B$2000,MATCH(C425,Catálogo!$A$5:$A$2000,0)),""))</f>
        <v/>
      </c>
      <c r="H425" s="11" t="str">
        <f aca="false">IF(C425="","",IFERROR(INDEX(Catálogo!$C$5:$C$2000,MATCH(C425,Catálogo!$A$5:$A$2000,0)),""))</f>
        <v/>
      </c>
      <c r="I425" s="11" t="str">
        <f aca="false">IF(D425="","",IF(D425&gt;UmbralAlarma,"Alarmante",IF(D425&gt;=UmbralRegular,"Regular","Bueno")))</f>
        <v/>
      </c>
      <c r="J425" s="11" t="str">
        <f aca="true">IF(COUNTA(A425:F425)=0,"",IF(OR(A425="",B425="",C425="",D425=""),"Faltan datos",IF(G425="","AP no está en el catálogo",IF(A425&gt;TODAY()+1,"Fecha futura",IF(OR(D425&lt;0,D425&lt;&gt;INT(D425)),"Usuarios no válidos",IF(AND(E425&lt;&gt;"",OR(E425&lt;0,E425&gt;1)),"Utilización fuera de 0-100%",IF(COUNTIFS($A$5:$A$604,A425,$B$5:$B$604,B425,$C$5:$C$604,C425)&gt;1,"Fila duplicada","OK")))))))</f>
        <v/>
      </c>
      <c r="K425" s="9"/>
    </row>
    <row r="426" customFormat="false" ht="15" hidden="false" customHeight="false" outlineLevel="0" collapsed="false">
      <c r="A426" s="7"/>
      <c r="B426" s="8"/>
      <c r="C426" s="9"/>
      <c r="D426" s="20"/>
      <c r="E426" s="10"/>
      <c r="F426" s="9"/>
      <c r="G426" s="11" t="str">
        <f aca="false">IF(C426="","",IFERROR(INDEX(Catálogo!$B$5:$B$2000,MATCH(C426,Catálogo!$A$5:$A$2000,0)),""))</f>
        <v/>
      </c>
      <c r="H426" s="11" t="str">
        <f aca="false">IF(C426="","",IFERROR(INDEX(Catálogo!$C$5:$C$2000,MATCH(C426,Catálogo!$A$5:$A$2000,0)),""))</f>
        <v/>
      </c>
      <c r="I426" s="11" t="str">
        <f aca="false">IF(D426="","",IF(D426&gt;UmbralAlarma,"Alarmante",IF(D426&gt;=UmbralRegular,"Regular","Bueno")))</f>
        <v/>
      </c>
      <c r="J426" s="11" t="str">
        <f aca="true">IF(COUNTA(A426:F426)=0,"",IF(OR(A426="",B426="",C426="",D426=""),"Faltan datos",IF(G426="","AP no está en el catálogo",IF(A426&gt;TODAY()+1,"Fecha futura",IF(OR(D426&lt;0,D426&lt;&gt;INT(D426)),"Usuarios no válidos",IF(AND(E426&lt;&gt;"",OR(E426&lt;0,E426&gt;1)),"Utilización fuera de 0-100%",IF(COUNTIFS($A$5:$A$604,A426,$B$5:$B$604,B426,$C$5:$C$604,C426)&gt;1,"Fila duplicada","OK")))))))</f>
        <v/>
      </c>
      <c r="K426" s="9"/>
    </row>
    <row r="427" customFormat="false" ht="15" hidden="false" customHeight="false" outlineLevel="0" collapsed="false">
      <c r="A427" s="7"/>
      <c r="B427" s="8"/>
      <c r="C427" s="9"/>
      <c r="D427" s="20"/>
      <c r="E427" s="10"/>
      <c r="F427" s="9"/>
      <c r="G427" s="11" t="str">
        <f aca="false">IF(C427="","",IFERROR(INDEX(Catálogo!$B$5:$B$2000,MATCH(C427,Catálogo!$A$5:$A$2000,0)),""))</f>
        <v/>
      </c>
      <c r="H427" s="11" t="str">
        <f aca="false">IF(C427="","",IFERROR(INDEX(Catálogo!$C$5:$C$2000,MATCH(C427,Catálogo!$A$5:$A$2000,0)),""))</f>
        <v/>
      </c>
      <c r="I427" s="11" t="str">
        <f aca="false">IF(D427="","",IF(D427&gt;UmbralAlarma,"Alarmante",IF(D427&gt;=UmbralRegular,"Regular","Bueno")))</f>
        <v/>
      </c>
      <c r="J427" s="11" t="str">
        <f aca="true">IF(COUNTA(A427:F427)=0,"",IF(OR(A427="",B427="",C427="",D427=""),"Faltan datos",IF(G427="","AP no está en el catálogo",IF(A427&gt;TODAY()+1,"Fecha futura",IF(OR(D427&lt;0,D427&lt;&gt;INT(D427)),"Usuarios no válidos",IF(AND(E427&lt;&gt;"",OR(E427&lt;0,E427&gt;1)),"Utilización fuera de 0-100%",IF(COUNTIFS($A$5:$A$604,A427,$B$5:$B$604,B427,$C$5:$C$604,C427)&gt;1,"Fila duplicada","OK")))))))</f>
        <v/>
      </c>
      <c r="K427" s="9"/>
    </row>
    <row r="428" customFormat="false" ht="15" hidden="false" customHeight="false" outlineLevel="0" collapsed="false">
      <c r="A428" s="7"/>
      <c r="B428" s="8"/>
      <c r="C428" s="9"/>
      <c r="D428" s="20"/>
      <c r="E428" s="10"/>
      <c r="F428" s="9"/>
      <c r="G428" s="11" t="str">
        <f aca="false">IF(C428="","",IFERROR(INDEX(Catálogo!$B$5:$B$2000,MATCH(C428,Catálogo!$A$5:$A$2000,0)),""))</f>
        <v/>
      </c>
      <c r="H428" s="11" t="str">
        <f aca="false">IF(C428="","",IFERROR(INDEX(Catálogo!$C$5:$C$2000,MATCH(C428,Catálogo!$A$5:$A$2000,0)),""))</f>
        <v/>
      </c>
      <c r="I428" s="11" t="str">
        <f aca="false">IF(D428="","",IF(D428&gt;UmbralAlarma,"Alarmante",IF(D428&gt;=UmbralRegular,"Regular","Bueno")))</f>
        <v/>
      </c>
      <c r="J428" s="11" t="str">
        <f aca="true">IF(COUNTA(A428:F428)=0,"",IF(OR(A428="",B428="",C428="",D428=""),"Faltan datos",IF(G428="","AP no está en el catálogo",IF(A428&gt;TODAY()+1,"Fecha futura",IF(OR(D428&lt;0,D428&lt;&gt;INT(D428)),"Usuarios no válidos",IF(AND(E428&lt;&gt;"",OR(E428&lt;0,E428&gt;1)),"Utilización fuera de 0-100%",IF(COUNTIFS($A$5:$A$604,A428,$B$5:$B$604,B428,$C$5:$C$604,C428)&gt;1,"Fila duplicada","OK")))))))</f>
        <v/>
      </c>
      <c r="K428" s="9"/>
    </row>
    <row r="429" customFormat="false" ht="15" hidden="false" customHeight="false" outlineLevel="0" collapsed="false">
      <c r="A429" s="7"/>
      <c r="B429" s="8"/>
      <c r="C429" s="9"/>
      <c r="D429" s="20"/>
      <c r="E429" s="10"/>
      <c r="F429" s="9"/>
      <c r="G429" s="11" t="str">
        <f aca="false">IF(C429="","",IFERROR(INDEX(Catálogo!$B$5:$B$2000,MATCH(C429,Catálogo!$A$5:$A$2000,0)),""))</f>
        <v/>
      </c>
      <c r="H429" s="11" t="str">
        <f aca="false">IF(C429="","",IFERROR(INDEX(Catálogo!$C$5:$C$2000,MATCH(C429,Catálogo!$A$5:$A$2000,0)),""))</f>
        <v/>
      </c>
      <c r="I429" s="11" t="str">
        <f aca="false">IF(D429="","",IF(D429&gt;UmbralAlarma,"Alarmante",IF(D429&gt;=UmbralRegular,"Regular","Bueno")))</f>
        <v/>
      </c>
      <c r="J429" s="11" t="str">
        <f aca="true">IF(COUNTA(A429:F429)=0,"",IF(OR(A429="",B429="",C429="",D429=""),"Faltan datos",IF(G429="","AP no está en el catálogo",IF(A429&gt;TODAY()+1,"Fecha futura",IF(OR(D429&lt;0,D429&lt;&gt;INT(D429)),"Usuarios no válidos",IF(AND(E429&lt;&gt;"",OR(E429&lt;0,E429&gt;1)),"Utilización fuera de 0-100%",IF(COUNTIFS($A$5:$A$604,A429,$B$5:$B$604,B429,$C$5:$C$604,C429)&gt;1,"Fila duplicada","OK")))))))</f>
        <v/>
      </c>
      <c r="K429" s="9"/>
    </row>
    <row r="430" customFormat="false" ht="15" hidden="false" customHeight="false" outlineLevel="0" collapsed="false">
      <c r="A430" s="7"/>
      <c r="B430" s="8"/>
      <c r="C430" s="9"/>
      <c r="D430" s="20"/>
      <c r="E430" s="10"/>
      <c r="F430" s="9"/>
      <c r="G430" s="11" t="str">
        <f aca="false">IF(C430="","",IFERROR(INDEX(Catálogo!$B$5:$B$2000,MATCH(C430,Catálogo!$A$5:$A$2000,0)),""))</f>
        <v/>
      </c>
      <c r="H430" s="11" t="str">
        <f aca="false">IF(C430="","",IFERROR(INDEX(Catálogo!$C$5:$C$2000,MATCH(C430,Catálogo!$A$5:$A$2000,0)),""))</f>
        <v/>
      </c>
      <c r="I430" s="11" t="str">
        <f aca="false">IF(D430="","",IF(D430&gt;UmbralAlarma,"Alarmante",IF(D430&gt;=UmbralRegular,"Regular","Bueno")))</f>
        <v/>
      </c>
      <c r="J430" s="11" t="str">
        <f aca="true">IF(COUNTA(A430:F430)=0,"",IF(OR(A430="",B430="",C430="",D430=""),"Faltan datos",IF(G430="","AP no está en el catálogo",IF(A430&gt;TODAY()+1,"Fecha futura",IF(OR(D430&lt;0,D430&lt;&gt;INT(D430)),"Usuarios no válidos",IF(AND(E430&lt;&gt;"",OR(E430&lt;0,E430&gt;1)),"Utilización fuera de 0-100%",IF(COUNTIFS($A$5:$A$604,A430,$B$5:$B$604,B430,$C$5:$C$604,C430)&gt;1,"Fila duplicada","OK")))))))</f>
        <v/>
      </c>
      <c r="K430" s="9"/>
    </row>
    <row r="431" customFormat="false" ht="15" hidden="false" customHeight="false" outlineLevel="0" collapsed="false">
      <c r="A431" s="7"/>
      <c r="B431" s="8"/>
      <c r="C431" s="9"/>
      <c r="D431" s="20"/>
      <c r="E431" s="10"/>
      <c r="F431" s="9"/>
      <c r="G431" s="11" t="str">
        <f aca="false">IF(C431="","",IFERROR(INDEX(Catálogo!$B$5:$B$2000,MATCH(C431,Catálogo!$A$5:$A$2000,0)),""))</f>
        <v/>
      </c>
      <c r="H431" s="11" t="str">
        <f aca="false">IF(C431="","",IFERROR(INDEX(Catálogo!$C$5:$C$2000,MATCH(C431,Catálogo!$A$5:$A$2000,0)),""))</f>
        <v/>
      </c>
      <c r="I431" s="11" t="str">
        <f aca="false">IF(D431="","",IF(D431&gt;UmbralAlarma,"Alarmante",IF(D431&gt;=UmbralRegular,"Regular","Bueno")))</f>
        <v/>
      </c>
      <c r="J431" s="11" t="str">
        <f aca="true">IF(COUNTA(A431:F431)=0,"",IF(OR(A431="",B431="",C431="",D431=""),"Faltan datos",IF(G431="","AP no está en el catálogo",IF(A431&gt;TODAY()+1,"Fecha futura",IF(OR(D431&lt;0,D431&lt;&gt;INT(D431)),"Usuarios no válidos",IF(AND(E431&lt;&gt;"",OR(E431&lt;0,E431&gt;1)),"Utilización fuera de 0-100%",IF(COUNTIFS($A$5:$A$604,A431,$B$5:$B$604,B431,$C$5:$C$604,C431)&gt;1,"Fila duplicada","OK")))))))</f>
        <v/>
      </c>
      <c r="K431" s="9"/>
    </row>
    <row r="432" customFormat="false" ht="15" hidden="false" customHeight="false" outlineLevel="0" collapsed="false">
      <c r="A432" s="7"/>
      <c r="B432" s="8"/>
      <c r="C432" s="9"/>
      <c r="D432" s="20"/>
      <c r="E432" s="10"/>
      <c r="F432" s="9"/>
      <c r="G432" s="11" t="str">
        <f aca="false">IF(C432="","",IFERROR(INDEX(Catálogo!$B$5:$B$2000,MATCH(C432,Catálogo!$A$5:$A$2000,0)),""))</f>
        <v/>
      </c>
      <c r="H432" s="11" t="str">
        <f aca="false">IF(C432="","",IFERROR(INDEX(Catálogo!$C$5:$C$2000,MATCH(C432,Catálogo!$A$5:$A$2000,0)),""))</f>
        <v/>
      </c>
      <c r="I432" s="11" t="str">
        <f aca="false">IF(D432="","",IF(D432&gt;UmbralAlarma,"Alarmante",IF(D432&gt;=UmbralRegular,"Regular","Bueno")))</f>
        <v/>
      </c>
      <c r="J432" s="11" t="str">
        <f aca="true">IF(COUNTA(A432:F432)=0,"",IF(OR(A432="",B432="",C432="",D432=""),"Faltan datos",IF(G432="","AP no está en el catálogo",IF(A432&gt;TODAY()+1,"Fecha futura",IF(OR(D432&lt;0,D432&lt;&gt;INT(D432)),"Usuarios no válidos",IF(AND(E432&lt;&gt;"",OR(E432&lt;0,E432&gt;1)),"Utilización fuera de 0-100%",IF(COUNTIFS($A$5:$A$604,A432,$B$5:$B$604,B432,$C$5:$C$604,C432)&gt;1,"Fila duplicada","OK")))))))</f>
        <v/>
      </c>
      <c r="K432" s="9"/>
    </row>
    <row r="433" customFormat="false" ht="15" hidden="false" customHeight="false" outlineLevel="0" collapsed="false">
      <c r="A433" s="7"/>
      <c r="B433" s="8"/>
      <c r="C433" s="9"/>
      <c r="D433" s="20"/>
      <c r="E433" s="10"/>
      <c r="F433" s="9"/>
      <c r="G433" s="11" t="str">
        <f aca="false">IF(C433="","",IFERROR(INDEX(Catálogo!$B$5:$B$2000,MATCH(C433,Catálogo!$A$5:$A$2000,0)),""))</f>
        <v/>
      </c>
      <c r="H433" s="11" t="str">
        <f aca="false">IF(C433="","",IFERROR(INDEX(Catálogo!$C$5:$C$2000,MATCH(C433,Catálogo!$A$5:$A$2000,0)),""))</f>
        <v/>
      </c>
      <c r="I433" s="11" t="str">
        <f aca="false">IF(D433="","",IF(D433&gt;UmbralAlarma,"Alarmante",IF(D433&gt;=UmbralRegular,"Regular","Bueno")))</f>
        <v/>
      </c>
      <c r="J433" s="11" t="str">
        <f aca="true">IF(COUNTA(A433:F433)=0,"",IF(OR(A433="",B433="",C433="",D433=""),"Faltan datos",IF(G433="","AP no está en el catálogo",IF(A433&gt;TODAY()+1,"Fecha futura",IF(OR(D433&lt;0,D433&lt;&gt;INT(D433)),"Usuarios no válidos",IF(AND(E433&lt;&gt;"",OR(E433&lt;0,E433&gt;1)),"Utilización fuera de 0-100%",IF(COUNTIFS($A$5:$A$604,A433,$B$5:$B$604,B433,$C$5:$C$604,C433)&gt;1,"Fila duplicada","OK")))))))</f>
        <v/>
      </c>
      <c r="K433" s="9"/>
    </row>
    <row r="434" customFormat="false" ht="15" hidden="false" customHeight="false" outlineLevel="0" collapsed="false">
      <c r="A434" s="7"/>
      <c r="B434" s="8"/>
      <c r="C434" s="9"/>
      <c r="D434" s="20"/>
      <c r="E434" s="10"/>
      <c r="F434" s="9"/>
      <c r="G434" s="11" t="str">
        <f aca="false">IF(C434="","",IFERROR(INDEX(Catálogo!$B$5:$B$2000,MATCH(C434,Catálogo!$A$5:$A$2000,0)),""))</f>
        <v/>
      </c>
      <c r="H434" s="11" t="str">
        <f aca="false">IF(C434="","",IFERROR(INDEX(Catálogo!$C$5:$C$2000,MATCH(C434,Catálogo!$A$5:$A$2000,0)),""))</f>
        <v/>
      </c>
      <c r="I434" s="11" t="str">
        <f aca="false">IF(D434="","",IF(D434&gt;UmbralAlarma,"Alarmante",IF(D434&gt;=UmbralRegular,"Regular","Bueno")))</f>
        <v/>
      </c>
      <c r="J434" s="11" t="str">
        <f aca="true">IF(COUNTA(A434:F434)=0,"",IF(OR(A434="",B434="",C434="",D434=""),"Faltan datos",IF(G434="","AP no está en el catálogo",IF(A434&gt;TODAY()+1,"Fecha futura",IF(OR(D434&lt;0,D434&lt;&gt;INT(D434)),"Usuarios no válidos",IF(AND(E434&lt;&gt;"",OR(E434&lt;0,E434&gt;1)),"Utilización fuera de 0-100%",IF(COUNTIFS($A$5:$A$604,A434,$B$5:$B$604,B434,$C$5:$C$604,C434)&gt;1,"Fila duplicada","OK")))))))</f>
        <v/>
      </c>
      <c r="K434" s="9"/>
    </row>
    <row r="435" customFormat="false" ht="15" hidden="false" customHeight="false" outlineLevel="0" collapsed="false">
      <c r="A435" s="7"/>
      <c r="B435" s="8"/>
      <c r="C435" s="9"/>
      <c r="D435" s="20"/>
      <c r="E435" s="10"/>
      <c r="F435" s="9"/>
      <c r="G435" s="11" t="str">
        <f aca="false">IF(C435="","",IFERROR(INDEX(Catálogo!$B$5:$B$2000,MATCH(C435,Catálogo!$A$5:$A$2000,0)),""))</f>
        <v/>
      </c>
      <c r="H435" s="11" t="str">
        <f aca="false">IF(C435="","",IFERROR(INDEX(Catálogo!$C$5:$C$2000,MATCH(C435,Catálogo!$A$5:$A$2000,0)),""))</f>
        <v/>
      </c>
      <c r="I435" s="11" t="str">
        <f aca="false">IF(D435="","",IF(D435&gt;UmbralAlarma,"Alarmante",IF(D435&gt;=UmbralRegular,"Regular","Bueno")))</f>
        <v/>
      </c>
      <c r="J435" s="11" t="str">
        <f aca="true">IF(COUNTA(A435:F435)=0,"",IF(OR(A435="",B435="",C435="",D435=""),"Faltan datos",IF(G435="","AP no está en el catálogo",IF(A435&gt;TODAY()+1,"Fecha futura",IF(OR(D435&lt;0,D435&lt;&gt;INT(D435)),"Usuarios no válidos",IF(AND(E435&lt;&gt;"",OR(E435&lt;0,E435&gt;1)),"Utilización fuera de 0-100%",IF(COUNTIFS($A$5:$A$604,A435,$B$5:$B$604,B435,$C$5:$C$604,C435)&gt;1,"Fila duplicada","OK")))))))</f>
        <v/>
      </c>
      <c r="K435" s="9"/>
    </row>
    <row r="436" customFormat="false" ht="15" hidden="false" customHeight="false" outlineLevel="0" collapsed="false">
      <c r="A436" s="7"/>
      <c r="B436" s="8"/>
      <c r="C436" s="9"/>
      <c r="D436" s="20"/>
      <c r="E436" s="10"/>
      <c r="F436" s="9"/>
      <c r="G436" s="11" t="str">
        <f aca="false">IF(C436="","",IFERROR(INDEX(Catálogo!$B$5:$B$2000,MATCH(C436,Catálogo!$A$5:$A$2000,0)),""))</f>
        <v/>
      </c>
      <c r="H436" s="11" t="str">
        <f aca="false">IF(C436="","",IFERROR(INDEX(Catálogo!$C$5:$C$2000,MATCH(C436,Catálogo!$A$5:$A$2000,0)),""))</f>
        <v/>
      </c>
      <c r="I436" s="11" t="str">
        <f aca="false">IF(D436="","",IF(D436&gt;UmbralAlarma,"Alarmante",IF(D436&gt;=UmbralRegular,"Regular","Bueno")))</f>
        <v/>
      </c>
      <c r="J436" s="11" t="str">
        <f aca="true">IF(COUNTA(A436:F436)=0,"",IF(OR(A436="",B436="",C436="",D436=""),"Faltan datos",IF(G436="","AP no está en el catálogo",IF(A436&gt;TODAY()+1,"Fecha futura",IF(OR(D436&lt;0,D436&lt;&gt;INT(D436)),"Usuarios no válidos",IF(AND(E436&lt;&gt;"",OR(E436&lt;0,E436&gt;1)),"Utilización fuera de 0-100%",IF(COUNTIFS($A$5:$A$604,A436,$B$5:$B$604,B436,$C$5:$C$604,C436)&gt;1,"Fila duplicada","OK")))))))</f>
        <v/>
      </c>
      <c r="K436" s="9"/>
    </row>
    <row r="437" customFormat="false" ht="15" hidden="false" customHeight="false" outlineLevel="0" collapsed="false">
      <c r="A437" s="7"/>
      <c r="B437" s="8"/>
      <c r="C437" s="9"/>
      <c r="D437" s="20"/>
      <c r="E437" s="10"/>
      <c r="F437" s="9"/>
      <c r="G437" s="11" t="str">
        <f aca="false">IF(C437="","",IFERROR(INDEX(Catálogo!$B$5:$B$2000,MATCH(C437,Catálogo!$A$5:$A$2000,0)),""))</f>
        <v/>
      </c>
      <c r="H437" s="11" t="str">
        <f aca="false">IF(C437="","",IFERROR(INDEX(Catálogo!$C$5:$C$2000,MATCH(C437,Catálogo!$A$5:$A$2000,0)),""))</f>
        <v/>
      </c>
      <c r="I437" s="11" t="str">
        <f aca="false">IF(D437="","",IF(D437&gt;UmbralAlarma,"Alarmante",IF(D437&gt;=UmbralRegular,"Regular","Bueno")))</f>
        <v/>
      </c>
      <c r="J437" s="11" t="str">
        <f aca="true">IF(COUNTA(A437:F437)=0,"",IF(OR(A437="",B437="",C437="",D437=""),"Faltan datos",IF(G437="","AP no está en el catálogo",IF(A437&gt;TODAY()+1,"Fecha futura",IF(OR(D437&lt;0,D437&lt;&gt;INT(D437)),"Usuarios no válidos",IF(AND(E437&lt;&gt;"",OR(E437&lt;0,E437&gt;1)),"Utilización fuera de 0-100%",IF(COUNTIFS($A$5:$A$604,A437,$B$5:$B$604,B437,$C$5:$C$604,C437)&gt;1,"Fila duplicada","OK")))))))</f>
        <v/>
      </c>
      <c r="K437" s="9"/>
    </row>
    <row r="438" customFormat="false" ht="15" hidden="false" customHeight="false" outlineLevel="0" collapsed="false">
      <c r="A438" s="7"/>
      <c r="B438" s="8"/>
      <c r="C438" s="9"/>
      <c r="D438" s="20"/>
      <c r="E438" s="10"/>
      <c r="F438" s="9"/>
      <c r="G438" s="11" t="str">
        <f aca="false">IF(C438="","",IFERROR(INDEX(Catálogo!$B$5:$B$2000,MATCH(C438,Catálogo!$A$5:$A$2000,0)),""))</f>
        <v/>
      </c>
      <c r="H438" s="11" t="str">
        <f aca="false">IF(C438="","",IFERROR(INDEX(Catálogo!$C$5:$C$2000,MATCH(C438,Catálogo!$A$5:$A$2000,0)),""))</f>
        <v/>
      </c>
      <c r="I438" s="11" t="str">
        <f aca="false">IF(D438="","",IF(D438&gt;UmbralAlarma,"Alarmante",IF(D438&gt;=UmbralRegular,"Regular","Bueno")))</f>
        <v/>
      </c>
      <c r="J438" s="11" t="str">
        <f aca="true">IF(COUNTA(A438:F438)=0,"",IF(OR(A438="",B438="",C438="",D438=""),"Faltan datos",IF(G438="","AP no está en el catálogo",IF(A438&gt;TODAY()+1,"Fecha futura",IF(OR(D438&lt;0,D438&lt;&gt;INT(D438)),"Usuarios no válidos",IF(AND(E438&lt;&gt;"",OR(E438&lt;0,E438&gt;1)),"Utilización fuera de 0-100%",IF(COUNTIFS($A$5:$A$604,A438,$B$5:$B$604,B438,$C$5:$C$604,C438)&gt;1,"Fila duplicada","OK")))))))</f>
        <v/>
      </c>
      <c r="K438" s="9"/>
    </row>
    <row r="439" customFormat="false" ht="15" hidden="false" customHeight="false" outlineLevel="0" collapsed="false">
      <c r="A439" s="7"/>
      <c r="B439" s="8"/>
      <c r="C439" s="9"/>
      <c r="D439" s="20"/>
      <c r="E439" s="10"/>
      <c r="F439" s="9"/>
      <c r="G439" s="11" t="str">
        <f aca="false">IF(C439="","",IFERROR(INDEX(Catálogo!$B$5:$B$2000,MATCH(C439,Catálogo!$A$5:$A$2000,0)),""))</f>
        <v/>
      </c>
      <c r="H439" s="11" t="str">
        <f aca="false">IF(C439="","",IFERROR(INDEX(Catálogo!$C$5:$C$2000,MATCH(C439,Catálogo!$A$5:$A$2000,0)),""))</f>
        <v/>
      </c>
      <c r="I439" s="11" t="str">
        <f aca="false">IF(D439="","",IF(D439&gt;UmbralAlarma,"Alarmante",IF(D439&gt;=UmbralRegular,"Regular","Bueno")))</f>
        <v/>
      </c>
      <c r="J439" s="11" t="str">
        <f aca="true">IF(COUNTA(A439:F439)=0,"",IF(OR(A439="",B439="",C439="",D439=""),"Faltan datos",IF(G439="","AP no está en el catálogo",IF(A439&gt;TODAY()+1,"Fecha futura",IF(OR(D439&lt;0,D439&lt;&gt;INT(D439)),"Usuarios no válidos",IF(AND(E439&lt;&gt;"",OR(E439&lt;0,E439&gt;1)),"Utilización fuera de 0-100%",IF(COUNTIFS($A$5:$A$604,A439,$B$5:$B$604,B439,$C$5:$C$604,C439)&gt;1,"Fila duplicada","OK")))))))</f>
        <v/>
      </c>
      <c r="K439" s="9"/>
    </row>
    <row r="440" customFormat="false" ht="15" hidden="false" customHeight="false" outlineLevel="0" collapsed="false">
      <c r="A440" s="7"/>
      <c r="B440" s="8"/>
      <c r="C440" s="9"/>
      <c r="D440" s="20"/>
      <c r="E440" s="10"/>
      <c r="F440" s="9"/>
      <c r="G440" s="11" t="str">
        <f aca="false">IF(C440="","",IFERROR(INDEX(Catálogo!$B$5:$B$2000,MATCH(C440,Catálogo!$A$5:$A$2000,0)),""))</f>
        <v/>
      </c>
      <c r="H440" s="11" t="str">
        <f aca="false">IF(C440="","",IFERROR(INDEX(Catálogo!$C$5:$C$2000,MATCH(C440,Catálogo!$A$5:$A$2000,0)),""))</f>
        <v/>
      </c>
      <c r="I440" s="11" t="str">
        <f aca="false">IF(D440="","",IF(D440&gt;UmbralAlarma,"Alarmante",IF(D440&gt;=UmbralRegular,"Regular","Bueno")))</f>
        <v/>
      </c>
      <c r="J440" s="11" t="str">
        <f aca="true">IF(COUNTA(A440:F440)=0,"",IF(OR(A440="",B440="",C440="",D440=""),"Faltan datos",IF(G440="","AP no está en el catálogo",IF(A440&gt;TODAY()+1,"Fecha futura",IF(OR(D440&lt;0,D440&lt;&gt;INT(D440)),"Usuarios no válidos",IF(AND(E440&lt;&gt;"",OR(E440&lt;0,E440&gt;1)),"Utilización fuera de 0-100%",IF(COUNTIFS($A$5:$A$604,A440,$B$5:$B$604,B440,$C$5:$C$604,C440)&gt;1,"Fila duplicada","OK")))))))</f>
        <v/>
      </c>
      <c r="K440" s="9"/>
    </row>
    <row r="441" customFormat="false" ht="15" hidden="false" customHeight="false" outlineLevel="0" collapsed="false">
      <c r="A441" s="7"/>
      <c r="B441" s="8"/>
      <c r="C441" s="9"/>
      <c r="D441" s="20"/>
      <c r="E441" s="10"/>
      <c r="F441" s="9"/>
      <c r="G441" s="11" t="str">
        <f aca="false">IF(C441="","",IFERROR(INDEX(Catálogo!$B$5:$B$2000,MATCH(C441,Catálogo!$A$5:$A$2000,0)),""))</f>
        <v/>
      </c>
      <c r="H441" s="11" t="str">
        <f aca="false">IF(C441="","",IFERROR(INDEX(Catálogo!$C$5:$C$2000,MATCH(C441,Catálogo!$A$5:$A$2000,0)),""))</f>
        <v/>
      </c>
      <c r="I441" s="11" t="str">
        <f aca="false">IF(D441="","",IF(D441&gt;UmbralAlarma,"Alarmante",IF(D441&gt;=UmbralRegular,"Regular","Bueno")))</f>
        <v/>
      </c>
      <c r="J441" s="11" t="str">
        <f aca="true">IF(COUNTA(A441:F441)=0,"",IF(OR(A441="",B441="",C441="",D441=""),"Faltan datos",IF(G441="","AP no está en el catálogo",IF(A441&gt;TODAY()+1,"Fecha futura",IF(OR(D441&lt;0,D441&lt;&gt;INT(D441)),"Usuarios no válidos",IF(AND(E441&lt;&gt;"",OR(E441&lt;0,E441&gt;1)),"Utilización fuera de 0-100%",IF(COUNTIFS($A$5:$A$604,A441,$B$5:$B$604,B441,$C$5:$C$604,C441)&gt;1,"Fila duplicada","OK")))))))</f>
        <v/>
      </c>
      <c r="K441" s="9"/>
    </row>
    <row r="442" customFormat="false" ht="15" hidden="false" customHeight="false" outlineLevel="0" collapsed="false">
      <c r="A442" s="7"/>
      <c r="B442" s="8"/>
      <c r="C442" s="9"/>
      <c r="D442" s="20"/>
      <c r="E442" s="10"/>
      <c r="F442" s="9"/>
      <c r="G442" s="11" t="str">
        <f aca="false">IF(C442="","",IFERROR(INDEX(Catálogo!$B$5:$B$2000,MATCH(C442,Catálogo!$A$5:$A$2000,0)),""))</f>
        <v/>
      </c>
      <c r="H442" s="11" t="str">
        <f aca="false">IF(C442="","",IFERROR(INDEX(Catálogo!$C$5:$C$2000,MATCH(C442,Catálogo!$A$5:$A$2000,0)),""))</f>
        <v/>
      </c>
      <c r="I442" s="11" t="str">
        <f aca="false">IF(D442="","",IF(D442&gt;UmbralAlarma,"Alarmante",IF(D442&gt;=UmbralRegular,"Regular","Bueno")))</f>
        <v/>
      </c>
      <c r="J442" s="11" t="str">
        <f aca="true">IF(COUNTA(A442:F442)=0,"",IF(OR(A442="",B442="",C442="",D442=""),"Faltan datos",IF(G442="","AP no está en el catálogo",IF(A442&gt;TODAY()+1,"Fecha futura",IF(OR(D442&lt;0,D442&lt;&gt;INT(D442)),"Usuarios no válidos",IF(AND(E442&lt;&gt;"",OR(E442&lt;0,E442&gt;1)),"Utilización fuera de 0-100%",IF(COUNTIFS($A$5:$A$604,A442,$B$5:$B$604,B442,$C$5:$C$604,C442)&gt;1,"Fila duplicada","OK")))))))</f>
        <v/>
      </c>
      <c r="K442" s="9"/>
    </row>
    <row r="443" customFormat="false" ht="15" hidden="false" customHeight="false" outlineLevel="0" collapsed="false">
      <c r="A443" s="7"/>
      <c r="B443" s="8"/>
      <c r="C443" s="9"/>
      <c r="D443" s="20"/>
      <c r="E443" s="10"/>
      <c r="F443" s="9"/>
      <c r="G443" s="11" t="str">
        <f aca="false">IF(C443="","",IFERROR(INDEX(Catálogo!$B$5:$B$2000,MATCH(C443,Catálogo!$A$5:$A$2000,0)),""))</f>
        <v/>
      </c>
      <c r="H443" s="11" t="str">
        <f aca="false">IF(C443="","",IFERROR(INDEX(Catálogo!$C$5:$C$2000,MATCH(C443,Catálogo!$A$5:$A$2000,0)),""))</f>
        <v/>
      </c>
      <c r="I443" s="11" t="str">
        <f aca="false">IF(D443="","",IF(D443&gt;UmbralAlarma,"Alarmante",IF(D443&gt;=UmbralRegular,"Regular","Bueno")))</f>
        <v/>
      </c>
      <c r="J443" s="11" t="str">
        <f aca="true">IF(COUNTA(A443:F443)=0,"",IF(OR(A443="",B443="",C443="",D443=""),"Faltan datos",IF(G443="","AP no está en el catálogo",IF(A443&gt;TODAY()+1,"Fecha futura",IF(OR(D443&lt;0,D443&lt;&gt;INT(D443)),"Usuarios no válidos",IF(AND(E443&lt;&gt;"",OR(E443&lt;0,E443&gt;1)),"Utilización fuera de 0-100%",IF(COUNTIFS($A$5:$A$604,A443,$B$5:$B$604,B443,$C$5:$C$604,C443)&gt;1,"Fila duplicada","OK")))))))</f>
        <v/>
      </c>
      <c r="K443" s="9"/>
    </row>
    <row r="444" customFormat="false" ht="15" hidden="false" customHeight="false" outlineLevel="0" collapsed="false">
      <c r="A444" s="7"/>
      <c r="B444" s="8"/>
      <c r="C444" s="9"/>
      <c r="D444" s="20"/>
      <c r="E444" s="10"/>
      <c r="F444" s="9"/>
      <c r="G444" s="11" t="str">
        <f aca="false">IF(C444="","",IFERROR(INDEX(Catálogo!$B$5:$B$2000,MATCH(C444,Catálogo!$A$5:$A$2000,0)),""))</f>
        <v/>
      </c>
      <c r="H444" s="11" t="str">
        <f aca="false">IF(C444="","",IFERROR(INDEX(Catálogo!$C$5:$C$2000,MATCH(C444,Catálogo!$A$5:$A$2000,0)),""))</f>
        <v/>
      </c>
      <c r="I444" s="11" t="str">
        <f aca="false">IF(D444="","",IF(D444&gt;UmbralAlarma,"Alarmante",IF(D444&gt;=UmbralRegular,"Regular","Bueno")))</f>
        <v/>
      </c>
      <c r="J444" s="11" t="str">
        <f aca="true">IF(COUNTA(A444:F444)=0,"",IF(OR(A444="",B444="",C444="",D444=""),"Faltan datos",IF(G444="","AP no está en el catálogo",IF(A444&gt;TODAY()+1,"Fecha futura",IF(OR(D444&lt;0,D444&lt;&gt;INT(D444)),"Usuarios no válidos",IF(AND(E444&lt;&gt;"",OR(E444&lt;0,E444&gt;1)),"Utilización fuera de 0-100%",IF(COUNTIFS($A$5:$A$604,A444,$B$5:$B$604,B444,$C$5:$C$604,C444)&gt;1,"Fila duplicada","OK")))))))</f>
        <v/>
      </c>
      <c r="K444" s="9"/>
    </row>
    <row r="445" customFormat="false" ht="15" hidden="false" customHeight="false" outlineLevel="0" collapsed="false">
      <c r="A445" s="7"/>
      <c r="B445" s="8"/>
      <c r="C445" s="9"/>
      <c r="D445" s="20"/>
      <c r="E445" s="10"/>
      <c r="F445" s="9"/>
      <c r="G445" s="11" t="str">
        <f aca="false">IF(C445="","",IFERROR(INDEX(Catálogo!$B$5:$B$2000,MATCH(C445,Catálogo!$A$5:$A$2000,0)),""))</f>
        <v/>
      </c>
      <c r="H445" s="11" t="str">
        <f aca="false">IF(C445="","",IFERROR(INDEX(Catálogo!$C$5:$C$2000,MATCH(C445,Catálogo!$A$5:$A$2000,0)),""))</f>
        <v/>
      </c>
      <c r="I445" s="11" t="str">
        <f aca="false">IF(D445="","",IF(D445&gt;UmbralAlarma,"Alarmante",IF(D445&gt;=UmbralRegular,"Regular","Bueno")))</f>
        <v/>
      </c>
      <c r="J445" s="11" t="str">
        <f aca="true">IF(COUNTA(A445:F445)=0,"",IF(OR(A445="",B445="",C445="",D445=""),"Faltan datos",IF(G445="","AP no está en el catálogo",IF(A445&gt;TODAY()+1,"Fecha futura",IF(OR(D445&lt;0,D445&lt;&gt;INT(D445)),"Usuarios no válidos",IF(AND(E445&lt;&gt;"",OR(E445&lt;0,E445&gt;1)),"Utilización fuera de 0-100%",IF(COUNTIFS($A$5:$A$604,A445,$B$5:$B$604,B445,$C$5:$C$604,C445)&gt;1,"Fila duplicada","OK")))))))</f>
        <v/>
      </c>
      <c r="K445" s="9"/>
    </row>
    <row r="446" customFormat="false" ht="15" hidden="false" customHeight="false" outlineLevel="0" collapsed="false">
      <c r="A446" s="7"/>
      <c r="B446" s="8"/>
      <c r="C446" s="9"/>
      <c r="D446" s="20"/>
      <c r="E446" s="10"/>
      <c r="F446" s="9"/>
      <c r="G446" s="11" t="str">
        <f aca="false">IF(C446="","",IFERROR(INDEX(Catálogo!$B$5:$B$2000,MATCH(C446,Catálogo!$A$5:$A$2000,0)),""))</f>
        <v/>
      </c>
      <c r="H446" s="11" t="str">
        <f aca="false">IF(C446="","",IFERROR(INDEX(Catálogo!$C$5:$C$2000,MATCH(C446,Catálogo!$A$5:$A$2000,0)),""))</f>
        <v/>
      </c>
      <c r="I446" s="11" t="str">
        <f aca="false">IF(D446="","",IF(D446&gt;UmbralAlarma,"Alarmante",IF(D446&gt;=UmbralRegular,"Regular","Bueno")))</f>
        <v/>
      </c>
      <c r="J446" s="11" t="str">
        <f aca="true">IF(COUNTA(A446:F446)=0,"",IF(OR(A446="",B446="",C446="",D446=""),"Faltan datos",IF(G446="","AP no está en el catálogo",IF(A446&gt;TODAY()+1,"Fecha futura",IF(OR(D446&lt;0,D446&lt;&gt;INT(D446)),"Usuarios no válidos",IF(AND(E446&lt;&gt;"",OR(E446&lt;0,E446&gt;1)),"Utilización fuera de 0-100%",IF(COUNTIFS($A$5:$A$604,A446,$B$5:$B$604,B446,$C$5:$C$604,C446)&gt;1,"Fila duplicada","OK")))))))</f>
        <v/>
      </c>
      <c r="K446" s="9"/>
    </row>
    <row r="447" customFormat="false" ht="15" hidden="false" customHeight="false" outlineLevel="0" collapsed="false">
      <c r="A447" s="7"/>
      <c r="B447" s="8"/>
      <c r="C447" s="9"/>
      <c r="D447" s="20"/>
      <c r="E447" s="10"/>
      <c r="F447" s="9"/>
      <c r="G447" s="11" t="str">
        <f aca="false">IF(C447="","",IFERROR(INDEX(Catálogo!$B$5:$B$2000,MATCH(C447,Catálogo!$A$5:$A$2000,0)),""))</f>
        <v/>
      </c>
      <c r="H447" s="11" t="str">
        <f aca="false">IF(C447="","",IFERROR(INDEX(Catálogo!$C$5:$C$2000,MATCH(C447,Catálogo!$A$5:$A$2000,0)),""))</f>
        <v/>
      </c>
      <c r="I447" s="11" t="str">
        <f aca="false">IF(D447="","",IF(D447&gt;UmbralAlarma,"Alarmante",IF(D447&gt;=UmbralRegular,"Regular","Bueno")))</f>
        <v/>
      </c>
      <c r="J447" s="11" t="str">
        <f aca="true">IF(COUNTA(A447:F447)=0,"",IF(OR(A447="",B447="",C447="",D447=""),"Faltan datos",IF(G447="","AP no está en el catálogo",IF(A447&gt;TODAY()+1,"Fecha futura",IF(OR(D447&lt;0,D447&lt;&gt;INT(D447)),"Usuarios no válidos",IF(AND(E447&lt;&gt;"",OR(E447&lt;0,E447&gt;1)),"Utilización fuera de 0-100%",IF(COUNTIFS($A$5:$A$604,A447,$B$5:$B$604,B447,$C$5:$C$604,C447)&gt;1,"Fila duplicada","OK")))))))</f>
        <v/>
      </c>
      <c r="K447" s="9"/>
    </row>
    <row r="448" customFormat="false" ht="15" hidden="false" customHeight="false" outlineLevel="0" collapsed="false">
      <c r="A448" s="7"/>
      <c r="B448" s="8"/>
      <c r="C448" s="9"/>
      <c r="D448" s="20"/>
      <c r="E448" s="10"/>
      <c r="F448" s="9"/>
      <c r="G448" s="11" t="str">
        <f aca="false">IF(C448="","",IFERROR(INDEX(Catálogo!$B$5:$B$2000,MATCH(C448,Catálogo!$A$5:$A$2000,0)),""))</f>
        <v/>
      </c>
      <c r="H448" s="11" t="str">
        <f aca="false">IF(C448="","",IFERROR(INDEX(Catálogo!$C$5:$C$2000,MATCH(C448,Catálogo!$A$5:$A$2000,0)),""))</f>
        <v/>
      </c>
      <c r="I448" s="11" t="str">
        <f aca="false">IF(D448="","",IF(D448&gt;UmbralAlarma,"Alarmante",IF(D448&gt;=UmbralRegular,"Regular","Bueno")))</f>
        <v/>
      </c>
      <c r="J448" s="11" t="str">
        <f aca="true">IF(COUNTA(A448:F448)=0,"",IF(OR(A448="",B448="",C448="",D448=""),"Faltan datos",IF(G448="","AP no está en el catálogo",IF(A448&gt;TODAY()+1,"Fecha futura",IF(OR(D448&lt;0,D448&lt;&gt;INT(D448)),"Usuarios no válidos",IF(AND(E448&lt;&gt;"",OR(E448&lt;0,E448&gt;1)),"Utilización fuera de 0-100%",IF(COUNTIFS($A$5:$A$604,A448,$B$5:$B$604,B448,$C$5:$C$604,C448)&gt;1,"Fila duplicada","OK")))))))</f>
        <v/>
      </c>
      <c r="K448" s="9"/>
    </row>
    <row r="449" customFormat="false" ht="15" hidden="false" customHeight="false" outlineLevel="0" collapsed="false">
      <c r="A449" s="7"/>
      <c r="B449" s="8"/>
      <c r="C449" s="9"/>
      <c r="D449" s="20"/>
      <c r="E449" s="10"/>
      <c r="F449" s="9"/>
      <c r="G449" s="11" t="str">
        <f aca="false">IF(C449="","",IFERROR(INDEX(Catálogo!$B$5:$B$2000,MATCH(C449,Catálogo!$A$5:$A$2000,0)),""))</f>
        <v/>
      </c>
      <c r="H449" s="11" t="str">
        <f aca="false">IF(C449="","",IFERROR(INDEX(Catálogo!$C$5:$C$2000,MATCH(C449,Catálogo!$A$5:$A$2000,0)),""))</f>
        <v/>
      </c>
      <c r="I449" s="11" t="str">
        <f aca="false">IF(D449="","",IF(D449&gt;UmbralAlarma,"Alarmante",IF(D449&gt;=UmbralRegular,"Regular","Bueno")))</f>
        <v/>
      </c>
      <c r="J449" s="11" t="str">
        <f aca="true">IF(COUNTA(A449:F449)=0,"",IF(OR(A449="",B449="",C449="",D449=""),"Faltan datos",IF(G449="","AP no está en el catálogo",IF(A449&gt;TODAY()+1,"Fecha futura",IF(OR(D449&lt;0,D449&lt;&gt;INT(D449)),"Usuarios no válidos",IF(AND(E449&lt;&gt;"",OR(E449&lt;0,E449&gt;1)),"Utilización fuera de 0-100%",IF(COUNTIFS($A$5:$A$604,A449,$B$5:$B$604,B449,$C$5:$C$604,C449)&gt;1,"Fila duplicada","OK")))))))</f>
        <v/>
      </c>
      <c r="K449" s="9"/>
    </row>
    <row r="450" customFormat="false" ht="15" hidden="false" customHeight="false" outlineLevel="0" collapsed="false">
      <c r="A450" s="7"/>
      <c r="B450" s="8"/>
      <c r="C450" s="9"/>
      <c r="D450" s="20"/>
      <c r="E450" s="10"/>
      <c r="F450" s="9"/>
      <c r="G450" s="11" t="str">
        <f aca="false">IF(C450="","",IFERROR(INDEX(Catálogo!$B$5:$B$2000,MATCH(C450,Catálogo!$A$5:$A$2000,0)),""))</f>
        <v/>
      </c>
      <c r="H450" s="11" t="str">
        <f aca="false">IF(C450="","",IFERROR(INDEX(Catálogo!$C$5:$C$2000,MATCH(C450,Catálogo!$A$5:$A$2000,0)),""))</f>
        <v/>
      </c>
      <c r="I450" s="11" t="str">
        <f aca="false">IF(D450="","",IF(D450&gt;UmbralAlarma,"Alarmante",IF(D450&gt;=UmbralRegular,"Regular","Bueno")))</f>
        <v/>
      </c>
      <c r="J450" s="11" t="str">
        <f aca="true">IF(COUNTA(A450:F450)=0,"",IF(OR(A450="",B450="",C450="",D450=""),"Faltan datos",IF(G450="","AP no está en el catálogo",IF(A450&gt;TODAY()+1,"Fecha futura",IF(OR(D450&lt;0,D450&lt;&gt;INT(D450)),"Usuarios no válidos",IF(AND(E450&lt;&gt;"",OR(E450&lt;0,E450&gt;1)),"Utilización fuera de 0-100%",IF(COUNTIFS($A$5:$A$604,A450,$B$5:$B$604,B450,$C$5:$C$604,C450)&gt;1,"Fila duplicada","OK")))))))</f>
        <v/>
      </c>
      <c r="K450" s="9"/>
    </row>
    <row r="451" customFormat="false" ht="15" hidden="false" customHeight="false" outlineLevel="0" collapsed="false">
      <c r="A451" s="7"/>
      <c r="B451" s="8"/>
      <c r="C451" s="9"/>
      <c r="D451" s="20"/>
      <c r="E451" s="10"/>
      <c r="F451" s="9"/>
      <c r="G451" s="11" t="str">
        <f aca="false">IF(C451="","",IFERROR(INDEX(Catálogo!$B$5:$B$2000,MATCH(C451,Catálogo!$A$5:$A$2000,0)),""))</f>
        <v/>
      </c>
      <c r="H451" s="11" t="str">
        <f aca="false">IF(C451="","",IFERROR(INDEX(Catálogo!$C$5:$C$2000,MATCH(C451,Catálogo!$A$5:$A$2000,0)),""))</f>
        <v/>
      </c>
      <c r="I451" s="11" t="str">
        <f aca="false">IF(D451="","",IF(D451&gt;UmbralAlarma,"Alarmante",IF(D451&gt;=UmbralRegular,"Regular","Bueno")))</f>
        <v/>
      </c>
      <c r="J451" s="11" t="str">
        <f aca="true">IF(COUNTA(A451:F451)=0,"",IF(OR(A451="",B451="",C451="",D451=""),"Faltan datos",IF(G451="","AP no está en el catálogo",IF(A451&gt;TODAY()+1,"Fecha futura",IF(OR(D451&lt;0,D451&lt;&gt;INT(D451)),"Usuarios no válidos",IF(AND(E451&lt;&gt;"",OR(E451&lt;0,E451&gt;1)),"Utilización fuera de 0-100%",IF(COUNTIFS($A$5:$A$604,A451,$B$5:$B$604,B451,$C$5:$C$604,C451)&gt;1,"Fila duplicada","OK")))))))</f>
        <v/>
      </c>
      <c r="K451" s="9"/>
    </row>
    <row r="452" customFormat="false" ht="15" hidden="false" customHeight="false" outlineLevel="0" collapsed="false">
      <c r="A452" s="7"/>
      <c r="B452" s="8"/>
      <c r="C452" s="9"/>
      <c r="D452" s="20"/>
      <c r="E452" s="10"/>
      <c r="F452" s="9"/>
      <c r="G452" s="11" t="str">
        <f aca="false">IF(C452="","",IFERROR(INDEX(Catálogo!$B$5:$B$2000,MATCH(C452,Catálogo!$A$5:$A$2000,0)),""))</f>
        <v/>
      </c>
      <c r="H452" s="11" t="str">
        <f aca="false">IF(C452="","",IFERROR(INDEX(Catálogo!$C$5:$C$2000,MATCH(C452,Catálogo!$A$5:$A$2000,0)),""))</f>
        <v/>
      </c>
      <c r="I452" s="11" t="str">
        <f aca="false">IF(D452="","",IF(D452&gt;UmbralAlarma,"Alarmante",IF(D452&gt;=UmbralRegular,"Regular","Bueno")))</f>
        <v/>
      </c>
      <c r="J452" s="11" t="str">
        <f aca="true">IF(COUNTA(A452:F452)=0,"",IF(OR(A452="",B452="",C452="",D452=""),"Faltan datos",IF(G452="","AP no está en el catálogo",IF(A452&gt;TODAY()+1,"Fecha futura",IF(OR(D452&lt;0,D452&lt;&gt;INT(D452)),"Usuarios no válidos",IF(AND(E452&lt;&gt;"",OR(E452&lt;0,E452&gt;1)),"Utilización fuera de 0-100%",IF(COUNTIFS($A$5:$A$604,A452,$B$5:$B$604,B452,$C$5:$C$604,C452)&gt;1,"Fila duplicada","OK")))))))</f>
        <v/>
      </c>
      <c r="K452" s="9"/>
    </row>
    <row r="453" customFormat="false" ht="15" hidden="false" customHeight="false" outlineLevel="0" collapsed="false">
      <c r="A453" s="7"/>
      <c r="B453" s="8"/>
      <c r="C453" s="9"/>
      <c r="D453" s="20"/>
      <c r="E453" s="10"/>
      <c r="F453" s="9"/>
      <c r="G453" s="11" t="str">
        <f aca="false">IF(C453="","",IFERROR(INDEX(Catálogo!$B$5:$B$2000,MATCH(C453,Catálogo!$A$5:$A$2000,0)),""))</f>
        <v/>
      </c>
      <c r="H453" s="11" t="str">
        <f aca="false">IF(C453="","",IFERROR(INDEX(Catálogo!$C$5:$C$2000,MATCH(C453,Catálogo!$A$5:$A$2000,0)),""))</f>
        <v/>
      </c>
      <c r="I453" s="11" t="str">
        <f aca="false">IF(D453="","",IF(D453&gt;UmbralAlarma,"Alarmante",IF(D453&gt;=UmbralRegular,"Regular","Bueno")))</f>
        <v/>
      </c>
      <c r="J453" s="11" t="str">
        <f aca="true">IF(COUNTA(A453:F453)=0,"",IF(OR(A453="",B453="",C453="",D453=""),"Faltan datos",IF(G453="","AP no está en el catálogo",IF(A453&gt;TODAY()+1,"Fecha futura",IF(OR(D453&lt;0,D453&lt;&gt;INT(D453)),"Usuarios no válidos",IF(AND(E453&lt;&gt;"",OR(E453&lt;0,E453&gt;1)),"Utilización fuera de 0-100%",IF(COUNTIFS($A$5:$A$604,A453,$B$5:$B$604,B453,$C$5:$C$604,C453)&gt;1,"Fila duplicada","OK")))))))</f>
        <v/>
      </c>
      <c r="K453" s="9"/>
    </row>
    <row r="454" customFormat="false" ht="15" hidden="false" customHeight="false" outlineLevel="0" collapsed="false">
      <c r="A454" s="7"/>
      <c r="B454" s="8"/>
      <c r="C454" s="9"/>
      <c r="D454" s="20"/>
      <c r="E454" s="10"/>
      <c r="F454" s="9"/>
      <c r="G454" s="11" t="str">
        <f aca="false">IF(C454="","",IFERROR(INDEX(Catálogo!$B$5:$B$2000,MATCH(C454,Catálogo!$A$5:$A$2000,0)),""))</f>
        <v/>
      </c>
      <c r="H454" s="11" t="str">
        <f aca="false">IF(C454="","",IFERROR(INDEX(Catálogo!$C$5:$C$2000,MATCH(C454,Catálogo!$A$5:$A$2000,0)),""))</f>
        <v/>
      </c>
      <c r="I454" s="11" t="str">
        <f aca="false">IF(D454="","",IF(D454&gt;UmbralAlarma,"Alarmante",IF(D454&gt;=UmbralRegular,"Regular","Bueno")))</f>
        <v/>
      </c>
      <c r="J454" s="11" t="str">
        <f aca="true">IF(COUNTA(A454:F454)=0,"",IF(OR(A454="",B454="",C454="",D454=""),"Faltan datos",IF(G454="","AP no está en el catálogo",IF(A454&gt;TODAY()+1,"Fecha futura",IF(OR(D454&lt;0,D454&lt;&gt;INT(D454)),"Usuarios no válidos",IF(AND(E454&lt;&gt;"",OR(E454&lt;0,E454&gt;1)),"Utilización fuera de 0-100%",IF(COUNTIFS($A$5:$A$604,A454,$B$5:$B$604,B454,$C$5:$C$604,C454)&gt;1,"Fila duplicada","OK")))))))</f>
        <v/>
      </c>
      <c r="K454" s="9"/>
    </row>
    <row r="455" customFormat="false" ht="15" hidden="false" customHeight="false" outlineLevel="0" collapsed="false">
      <c r="A455" s="7"/>
      <c r="B455" s="8"/>
      <c r="C455" s="9"/>
      <c r="D455" s="20"/>
      <c r="E455" s="10"/>
      <c r="F455" s="9"/>
      <c r="G455" s="11" t="str">
        <f aca="false">IF(C455="","",IFERROR(INDEX(Catálogo!$B$5:$B$2000,MATCH(C455,Catálogo!$A$5:$A$2000,0)),""))</f>
        <v/>
      </c>
      <c r="H455" s="11" t="str">
        <f aca="false">IF(C455="","",IFERROR(INDEX(Catálogo!$C$5:$C$2000,MATCH(C455,Catálogo!$A$5:$A$2000,0)),""))</f>
        <v/>
      </c>
      <c r="I455" s="11" t="str">
        <f aca="false">IF(D455="","",IF(D455&gt;UmbralAlarma,"Alarmante",IF(D455&gt;=UmbralRegular,"Regular","Bueno")))</f>
        <v/>
      </c>
      <c r="J455" s="11" t="str">
        <f aca="true">IF(COUNTA(A455:F455)=0,"",IF(OR(A455="",B455="",C455="",D455=""),"Faltan datos",IF(G455="","AP no está en el catálogo",IF(A455&gt;TODAY()+1,"Fecha futura",IF(OR(D455&lt;0,D455&lt;&gt;INT(D455)),"Usuarios no válidos",IF(AND(E455&lt;&gt;"",OR(E455&lt;0,E455&gt;1)),"Utilización fuera de 0-100%",IF(COUNTIFS($A$5:$A$604,A455,$B$5:$B$604,B455,$C$5:$C$604,C455)&gt;1,"Fila duplicada","OK")))))))</f>
        <v/>
      </c>
      <c r="K455" s="9"/>
    </row>
    <row r="456" customFormat="false" ht="15" hidden="false" customHeight="false" outlineLevel="0" collapsed="false">
      <c r="A456" s="7"/>
      <c r="B456" s="8"/>
      <c r="C456" s="9"/>
      <c r="D456" s="20"/>
      <c r="E456" s="10"/>
      <c r="F456" s="9"/>
      <c r="G456" s="11" t="str">
        <f aca="false">IF(C456="","",IFERROR(INDEX(Catálogo!$B$5:$B$2000,MATCH(C456,Catálogo!$A$5:$A$2000,0)),""))</f>
        <v/>
      </c>
      <c r="H456" s="11" t="str">
        <f aca="false">IF(C456="","",IFERROR(INDEX(Catálogo!$C$5:$C$2000,MATCH(C456,Catálogo!$A$5:$A$2000,0)),""))</f>
        <v/>
      </c>
      <c r="I456" s="11" t="str">
        <f aca="false">IF(D456="","",IF(D456&gt;UmbralAlarma,"Alarmante",IF(D456&gt;=UmbralRegular,"Regular","Bueno")))</f>
        <v/>
      </c>
      <c r="J456" s="11" t="str">
        <f aca="true">IF(COUNTA(A456:F456)=0,"",IF(OR(A456="",B456="",C456="",D456=""),"Faltan datos",IF(G456="","AP no está en el catálogo",IF(A456&gt;TODAY()+1,"Fecha futura",IF(OR(D456&lt;0,D456&lt;&gt;INT(D456)),"Usuarios no válidos",IF(AND(E456&lt;&gt;"",OR(E456&lt;0,E456&gt;1)),"Utilización fuera de 0-100%",IF(COUNTIFS($A$5:$A$604,A456,$B$5:$B$604,B456,$C$5:$C$604,C456)&gt;1,"Fila duplicada","OK")))))))</f>
        <v/>
      </c>
      <c r="K456" s="9"/>
    </row>
    <row r="457" customFormat="false" ht="15" hidden="false" customHeight="false" outlineLevel="0" collapsed="false">
      <c r="A457" s="7"/>
      <c r="B457" s="8"/>
      <c r="C457" s="9"/>
      <c r="D457" s="20"/>
      <c r="E457" s="10"/>
      <c r="F457" s="9"/>
      <c r="G457" s="11" t="str">
        <f aca="false">IF(C457="","",IFERROR(INDEX(Catálogo!$B$5:$B$2000,MATCH(C457,Catálogo!$A$5:$A$2000,0)),""))</f>
        <v/>
      </c>
      <c r="H457" s="11" t="str">
        <f aca="false">IF(C457="","",IFERROR(INDEX(Catálogo!$C$5:$C$2000,MATCH(C457,Catálogo!$A$5:$A$2000,0)),""))</f>
        <v/>
      </c>
      <c r="I457" s="11" t="str">
        <f aca="false">IF(D457="","",IF(D457&gt;UmbralAlarma,"Alarmante",IF(D457&gt;=UmbralRegular,"Regular","Bueno")))</f>
        <v/>
      </c>
      <c r="J457" s="11" t="str">
        <f aca="true">IF(COUNTA(A457:F457)=0,"",IF(OR(A457="",B457="",C457="",D457=""),"Faltan datos",IF(G457="","AP no está en el catálogo",IF(A457&gt;TODAY()+1,"Fecha futura",IF(OR(D457&lt;0,D457&lt;&gt;INT(D457)),"Usuarios no válidos",IF(AND(E457&lt;&gt;"",OR(E457&lt;0,E457&gt;1)),"Utilización fuera de 0-100%",IF(COUNTIFS($A$5:$A$604,A457,$B$5:$B$604,B457,$C$5:$C$604,C457)&gt;1,"Fila duplicada","OK")))))))</f>
        <v/>
      </c>
      <c r="K457" s="9"/>
    </row>
    <row r="458" customFormat="false" ht="15" hidden="false" customHeight="false" outlineLevel="0" collapsed="false">
      <c r="A458" s="7"/>
      <c r="B458" s="8"/>
      <c r="C458" s="9"/>
      <c r="D458" s="20"/>
      <c r="E458" s="10"/>
      <c r="F458" s="9"/>
      <c r="G458" s="11" t="str">
        <f aca="false">IF(C458="","",IFERROR(INDEX(Catálogo!$B$5:$B$2000,MATCH(C458,Catálogo!$A$5:$A$2000,0)),""))</f>
        <v/>
      </c>
      <c r="H458" s="11" t="str">
        <f aca="false">IF(C458="","",IFERROR(INDEX(Catálogo!$C$5:$C$2000,MATCH(C458,Catálogo!$A$5:$A$2000,0)),""))</f>
        <v/>
      </c>
      <c r="I458" s="11" t="str">
        <f aca="false">IF(D458="","",IF(D458&gt;UmbralAlarma,"Alarmante",IF(D458&gt;=UmbralRegular,"Regular","Bueno")))</f>
        <v/>
      </c>
      <c r="J458" s="11" t="str">
        <f aca="true">IF(COUNTA(A458:F458)=0,"",IF(OR(A458="",B458="",C458="",D458=""),"Faltan datos",IF(G458="","AP no está en el catálogo",IF(A458&gt;TODAY()+1,"Fecha futura",IF(OR(D458&lt;0,D458&lt;&gt;INT(D458)),"Usuarios no válidos",IF(AND(E458&lt;&gt;"",OR(E458&lt;0,E458&gt;1)),"Utilización fuera de 0-100%",IF(COUNTIFS($A$5:$A$604,A458,$B$5:$B$604,B458,$C$5:$C$604,C458)&gt;1,"Fila duplicada","OK")))))))</f>
        <v/>
      </c>
      <c r="K458" s="9"/>
    </row>
    <row r="459" customFormat="false" ht="15" hidden="false" customHeight="false" outlineLevel="0" collapsed="false">
      <c r="A459" s="7"/>
      <c r="B459" s="8"/>
      <c r="C459" s="9"/>
      <c r="D459" s="20"/>
      <c r="E459" s="10"/>
      <c r="F459" s="9"/>
      <c r="G459" s="11" t="str">
        <f aca="false">IF(C459="","",IFERROR(INDEX(Catálogo!$B$5:$B$2000,MATCH(C459,Catálogo!$A$5:$A$2000,0)),""))</f>
        <v/>
      </c>
      <c r="H459" s="11" t="str">
        <f aca="false">IF(C459="","",IFERROR(INDEX(Catálogo!$C$5:$C$2000,MATCH(C459,Catálogo!$A$5:$A$2000,0)),""))</f>
        <v/>
      </c>
      <c r="I459" s="11" t="str">
        <f aca="false">IF(D459="","",IF(D459&gt;UmbralAlarma,"Alarmante",IF(D459&gt;=UmbralRegular,"Regular","Bueno")))</f>
        <v/>
      </c>
      <c r="J459" s="11" t="str">
        <f aca="true">IF(COUNTA(A459:F459)=0,"",IF(OR(A459="",B459="",C459="",D459=""),"Faltan datos",IF(G459="","AP no está en el catálogo",IF(A459&gt;TODAY()+1,"Fecha futura",IF(OR(D459&lt;0,D459&lt;&gt;INT(D459)),"Usuarios no válidos",IF(AND(E459&lt;&gt;"",OR(E459&lt;0,E459&gt;1)),"Utilización fuera de 0-100%",IF(COUNTIFS($A$5:$A$604,A459,$B$5:$B$604,B459,$C$5:$C$604,C459)&gt;1,"Fila duplicada","OK")))))))</f>
        <v/>
      </c>
      <c r="K459" s="9"/>
    </row>
    <row r="460" customFormat="false" ht="15" hidden="false" customHeight="false" outlineLevel="0" collapsed="false">
      <c r="A460" s="7"/>
      <c r="B460" s="8"/>
      <c r="C460" s="9"/>
      <c r="D460" s="20"/>
      <c r="E460" s="10"/>
      <c r="F460" s="9"/>
      <c r="G460" s="11" t="str">
        <f aca="false">IF(C460="","",IFERROR(INDEX(Catálogo!$B$5:$B$2000,MATCH(C460,Catálogo!$A$5:$A$2000,0)),""))</f>
        <v/>
      </c>
      <c r="H460" s="11" t="str">
        <f aca="false">IF(C460="","",IFERROR(INDEX(Catálogo!$C$5:$C$2000,MATCH(C460,Catálogo!$A$5:$A$2000,0)),""))</f>
        <v/>
      </c>
      <c r="I460" s="11" t="str">
        <f aca="false">IF(D460="","",IF(D460&gt;UmbralAlarma,"Alarmante",IF(D460&gt;=UmbralRegular,"Regular","Bueno")))</f>
        <v/>
      </c>
      <c r="J460" s="11" t="str">
        <f aca="true">IF(COUNTA(A460:F460)=0,"",IF(OR(A460="",B460="",C460="",D460=""),"Faltan datos",IF(G460="","AP no está en el catálogo",IF(A460&gt;TODAY()+1,"Fecha futura",IF(OR(D460&lt;0,D460&lt;&gt;INT(D460)),"Usuarios no válidos",IF(AND(E460&lt;&gt;"",OR(E460&lt;0,E460&gt;1)),"Utilización fuera de 0-100%",IF(COUNTIFS($A$5:$A$604,A460,$B$5:$B$604,B460,$C$5:$C$604,C460)&gt;1,"Fila duplicada","OK")))))))</f>
        <v/>
      </c>
      <c r="K460" s="9"/>
    </row>
    <row r="461" customFormat="false" ht="15" hidden="false" customHeight="false" outlineLevel="0" collapsed="false">
      <c r="A461" s="7"/>
      <c r="B461" s="8"/>
      <c r="C461" s="9"/>
      <c r="D461" s="20"/>
      <c r="E461" s="10"/>
      <c r="F461" s="9"/>
      <c r="G461" s="11" t="str">
        <f aca="false">IF(C461="","",IFERROR(INDEX(Catálogo!$B$5:$B$2000,MATCH(C461,Catálogo!$A$5:$A$2000,0)),""))</f>
        <v/>
      </c>
      <c r="H461" s="11" t="str">
        <f aca="false">IF(C461="","",IFERROR(INDEX(Catálogo!$C$5:$C$2000,MATCH(C461,Catálogo!$A$5:$A$2000,0)),""))</f>
        <v/>
      </c>
      <c r="I461" s="11" t="str">
        <f aca="false">IF(D461="","",IF(D461&gt;UmbralAlarma,"Alarmante",IF(D461&gt;=UmbralRegular,"Regular","Bueno")))</f>
        <v/>
      </c>
      <c r="J461" s="11" t="str">
        <f aca="true">IF(COUNTA(A461:F461)=0,"",IF(OR(A461="",B461="",C461="",D461=""),"Faltan datos",IF(G461="","AP no está en el catálogo",IF(A461&gt;TODAY()+1,"Fecha futura",IF(OR(D461&lt;0,D461&lt;&gt;INT(D461)),"Usuarios no válidos",IF(AND(E461&lt;&gt;"",OR(E461&lt;0,E461&gt;1)),"Utilización fuera de 0-100%",IF(COUNTIFS($A$5:$A$604,A461,$B$5:$B$604,B461,$C$5:$C$604,C461)&gt;1,"Fila duplicada","OK")))))))</f>
        <v/>
      </c>
      <c r="K461" s="9"/>
    </row>
    <row r="462" customFormat="false" ht="15" hidden="false" customHeight="false" outlineLevel="0" collapsed="false">
      <c r="A462" s="7"/>
      <c r="B462" s="8"/>
      <c r="C462" s="9"/>
      <c r="D462" s="20"/>
      <c r="E462" s="10"/>
      <c r="F462" s="9"/>
      <c r="G462" s="11" t="str">
        <f aca="false">IF(C462="","",IFERROR(INDEX(Catálogo!$B$5:$B$2000,MATCH(C462,Catálogo!$A$5:$A$2000,0)),""))</f>
        <v/>
      </c>
      <c r="H462" s="11" t="str">
        <f aca="false">IF(C462="","",IFERROR(INDEX(Catálogo!$C$5:$C$2000,MATCH(C462,Catálogo!$A$5:$A$2000,0)),""))</f>
        <v/>
      </c>
      <c r="I462" s="11" t="str">
        <f aca="false">IF(D462="","",IF(D462&gt;UmbralAlarma,"Alarmante",IF(D462&gt;=UmbralRegular,"Regular","Bueno")))</f>
        <v/>
      </c>
      <c r="J462" s="11" t="str">
        <f aca="true">IF(COUNTA(A462:F462)=0,"",IF(OR(A462="",B462="",C462="",D462=""),"Faltan datos",IF(G462="","AP no está en el catálogo",IF(A462&gt;TODAY()+1,"Fecha futura",IF(OR(D462&lt;0,D462&lt;&gt;INT(D462)),"Usuarios no válidos",IF(AND(E462&lt;&gt;"",OR(E462&lt;0,E462&gt;1)),"Utilización fuera de 0-100%",IF(COUNTIFS($A$5:$A$604,A462,$B$5:$B$604,B462,$C$5:$C$604,C462)&gt;1,"Fila duplicada","OK")))))))</f>
        <v/>
      </c>
      <c r="K462" s="9"/>
    </row>
    <row r="463" customFormat="false" ht="15" hidden="false" customHeight="false" outlineLevel="0" collapsed="false">
      <c r="A463" s="7"/>
      <c r="B463" s="8"/>
      <c r="C463" s="9"/>
      <c r="D463" s="20"/>
      <c r="E463" s="10"/>
      <c r="F463" s="9"/>
      <c r="G463" s="11" t="str">
        <f aca="false">IF(C463="","",IFERROR(INDEX(Catálogo!$B$5:$B$2000,MATCH(C463,Catálogo!$A$5:$A$2000,0)),""))</f>
        <v/>
      </c>
      <c r="H463" s="11" t="str">
        <f aca="false">IF(C463="","",IFERROR(INDEX(Catálogo!$C$5:$C$2000,MATCH(C463,Catálogo!$A$5:$A$2000,0)),""))</f>
        <v/>
      </c>
      <c r="I463" s="11" t="str">
        <f aca="false">IF(D463="","",IF(D463&gt;UmbralAlarma,"Alarmante",IF(D463&gt;=UmbralRegular,"Regular","Bueno")))</f>
        <v/>
      </c>
      <c r="J463" s="11" t="str">
        <f aca="true">IF(COUNTA(A463:F463)=0,"",IF(OR(A463="",B463="",C463="",D463=""),"Faltan datos",IF(G463="","AP no está en el catálogo",IF(A463&gt;TODAY()+1,"Fecha futura",IF(OR(D463&lt;0,D463&lt;&gt;INT(D463)),"Usuarios no válidos",IF(AND(E463&lt;&gt;"",OR(E463&lt;0,E463&gt;1)),"Utilización fuera de 0-100%",IF(COUNTIFS($A$5:$A$604,A463,$B$5:$B$604,B463,$C$5:$C$604,C463)&gt;1,"Fila duplicada","OK")))))))</f>
        <v/>
      </c>
      <c r="K463" s="9"/>
    </row>
    <row r="464" customFormat="false" ht="15" hidden="false" customHeight="false" outlineLevel="0" collapsed="false">
      <c r="A464" s="7"/>
      <c r="B464" s="8"/>
      <c r="C464" s="9"/>
      <c r="D464" s="20"/>
      <c r="E464" s="10"/>
      <c r="F464" s="9"/>
      <c r="G464" s="11" t="str">
        <f aca="false">IF(C464="","",IFERROR(INDEX(Catálogo!$B$5:$B$2000,MATCH(C464,Catálogo!$A$5:$A$2000,0)),""))</f>
        <v/>
      </c>
      <c r="H464" s="11" t="str">
        <f aca="false">IF(C464="","",IFERROR(INDEX(Catálogo!$C$5:$C$2000,MATCH(C464,Catálogo!$A$5:$A$2000,0)),""))</f>
        <v/>
      </c>
      <c r="I464" s="11" t="str">
        <f aca="false">IF(D464="","",IF(D464&gt;UmbralAlarma,"Alarmante",IF(D464&gt;=UmbralRegular,"Regular","Bueno")))</f>
        <v/>
      </c>
      <c r="J464" s="11" t="str">
        <f aca="true">IF(COUNTA(A464:F464)=0,"",IF(OR(A464="",B464="",C464="",D464=""),"Faltan datos",IF(G464="","AP no está en el catálogo",IF(A464&gt;TODAY()+1,"Fecha futura",IF(OR(D464&lt;0,D464&lt;&gt;INT(D464)),"Usuarios no válidos",IF(AND(E464&lt;&gt;"",OR(E464&lt;0,E464&gt;1)),"Utilización fuera de 0-100%",IF(COUNTIFS($A$5:$A$604,A464,$B$5:$B$604,B464,$C$5:$C$604,C464)&gt;1,"Fila duplicada","OK")))))))</f>
        <v/>
      </c>
      <c r="K464" s="9"/>
    </row>
    <row r="465" customFormat="false" ht="15" hidden="false" customHeight="false" outlineLevel="0" collapsed="false">
      <c r="A465" s="7"/>
      <c r="B465" s="8"/>
      <c r="C465" s="9"/>
      <c r="D465" s="20"/>
      <c r="E465" s="10"/>
      <c r="F465" s="9"/>
      <c r="G465" s="11" t="str">
        <f aca="false">IF(C465="","",IFERROR(INDEX(Catálogo!$B$5:$B$2000,MATCH(C465,Catálogo!$A$5:$A$2000,0)),""))</f>
        <v/>
      </c>
      <c r="H465" s="11" t="str">
        <f aca="false">IF(C465="","",IFERROR(INDEX(Catálogo!$C$5:$C$2000,MATCH(C465,Catálogo!$A$5:$A$2000,0)),""))</f>
        <v/>
      </c>
      <c r="I465" s="11" t="str">
        <f aca="false">IF(D465="","",IF(D465&gt;UmbralAlarma,"Alarmante",IF(D465&gt;=UmbralRegular,"Regular","Bueno")))</f>
        <v/>
      </c>
      <c r="J465" s="11" t="str">
        <f aca="true">IF(COUNTA(A465:F465)=0,"",IF(OR(A465="",B465="",C465="",D465=""),"Faltan datos",IF(G465="","AP no está en el catálogo",IF(A465&gt;TODAY()+1,"Fecha futura",IF(OR(D465&lt;0,D465&lt;&gt;INT(D465)),"Usuarios no válidos",IF(AND(E465&lt;&gt;"",OR(E465&lt;0,E465&gt;1)),"Utilización fuera de 0-100%",IF(COUNTIFS($A$5:$A$604,A465,$B$5:$B$604,B465,$C$5:$C$604,C465)&gt;1,"Fila duplicada","OK")))))))</f>
        <v/>
      </c>
      <c r="K465" s="9"/>
    </row>
    <row r="466" customFormat="false" ht="15" hidden="false" customHeight="false" outlineLevel="0" collapsed="false">
      <c r="A466" s="7"/>
      <c r="B466" s="8"/>
      <c r="C466" s="9"/>
      <c r="D466" s="20"/>
      <c r="E466" s="10"/>
      <c r="F466" s="9"/>
      <c r="G466" s="11" t="str">
        <f aca="false">IF(C466="","",IFERROR(INDEX(Catálogo!$B$5:$B$2000,MATCH(C466,Catálogo!$A$5:$A$2000,0)),""))</f>
        <v/>
      </c>
      <c r="H466" s="11" t="str">
        <f aca="false">IF(C466="","",IFERROR(INDEX(Catálogo!$C$5:$C$2000,MATCH(C466,Catálogo!$A$5:$A$2000,0)),""))</f>
        <v/>
      </c>
      <c r="I466" s="11" t="str">
        <f aca="false">IF(D466="","",IF(D466&gt;UmbralAlarma,"Alarmante",IF(D466&gt;=UmbralRegular,"Regular","Bueno")))</f>
        <v/>
      </c>
      <c r="J466" s="11" t="str">
        <f aca="true">IF(COUNTA(A466:F466)=0,"",IF(OR(A466="",B466="",C466="",D466=""),"Faltan datos",IF(G466="","AP no está en el catálogo",IF(A466&gt;TODAY()+1,"Fecha futura",IF(OR(D466&lt;0,D466&lt;&gt;INT(D466)),"Usuarios no válidos",IF(AND(E466&lt;&gt;"",OR(E466&lt;0,E466&gt;1)),"Utilización fuera de 0-100%",IF(COUNTIFS($A$5:$A$604,A466,$B$5:$B$604,B466,$C$5:$C$604,C466)&gt;1,"Fila duplicada","OK")))))))</f>
        <v/>
      </c>
      <c r="K466" s="9"/>
    </row>
    <row r="467" customFormat="false" ht="15" hidden="false" customHeight="false" outlineLevel="0" collapsed="false">
      <c r="A467" s="7"/>
      <c r="B467" s="8"/>
      <c r="C467" s="9"/>
      <c r="D467" s="20"/>
      <c r="E467" s="10"/>
      <c r="F467" s="9"/>
      <c r="G467" s="11" t="str">
        <f aca="false">IF(C467="","",IFERROR(INDEX(Catálogo!$B$5:$B$2000,MATCH(C467,Catálogo!$A$5:$A$2000,0)),""))</f>
        <v/>
      </c>
      <c r="H467" s="11" t="str">
        <f aca="false">IF(C467="","",IFERROR(INDEX(Catálogo!$C$5:$C$2000,MATCH(C467,Catálogo!$A$5:$A$2000,0)),""))</f>
        <v/>
      </c>
      <c r="I467" s="11" t="str">
        <f aca="false">IF(D467="","",IF(D467&gt;UmbralAlarma,"Alarmante",IF(D467&gt;=UmbralRegular,"Regular","Bueno")))</f>
        <v/>
      </c>
      <c r="J467" s="11" t="str">
        <f aca="true">IF(COUNTA(A467:F467)=0,"",IF(OR(A467="",B467="",C467="",D467=""),"Faltan datos",IF(G467="","AP no está en el catálogo",IF(A467&gt;TODAY()+1,"Fecha futura",IF(OR(D467&lt;0,D467&lt;&gt;INT(D467)),"Usuarios no válidos",IF(AND(E467&lt;&gt;"",OR(E467&lt;0,E467&gt;1)),"Utilización fuera de 0-100%",IF(COUNTIFS($A$5:$A$604,A467,$B$5:$B$604,B467,$C$5:$C$604,C467)&gt;1,"Fila duplicada","OK")))))))</f>
        <v/>
      </c>
      <c r="K467" s="9"/>
    </row>
    <row r="468" customFormat="false" ht="15" hidden="false" customHeight="false" outlineLevel="0" collapsed="false">
      <c r="A468" s="7"/>
      <c r="B468" s="8"/>
      <c r="C468" s="9"/>
      <c r="D468" s="20"/>
      <c r="E468" s="10"/>
      <c r="F468" s="9"/>
      <c r="G468" s="11" t="str">
        <f aca="false">IF(C468="","",IFERROR(INDEX(Catálogo!$B$5:$B$2000,MATCH(C468,Catálogo!$A$5:$A$2000,0)),""))</f>
        <v/>
      </c>
      <c r="H468" s="11" t="str">
        <f aca="false">IF(C468="","",IFERROR(INDEX(Catálogo!$C$5:$C$2000,MATCH(C468,Catálogo!$A$5:$A$2000,0)),""))</f>
        <v/>
      </c>
      <c r="I468" s="11" t="str">
        <f aca="false">IF(D468="","",IF(D468&gt;UmbralAlarma,"Alarmante",IF(D468&gt;=UmbralRegular,"Regular","Bueno")))</f>
        <v/>
      </c>
      <c r="J468" s="11" t="str">
        <f aca="true">IF(COUNTA(A468:F468)=0,"",IF(OR(A468="",B468="",C468="",D468=""),"Faltan datos",IF(G468="","AP no está en el catálogo",IF(A468&gt;TODAY()+1,"Fecha futura",IF(OR(D468&lt;0,D468&lt;&gt;INT(D468)),"Usuarios no válidos",IF(AND(E468&lt;&gt;"",OR(E468&lt;0,E468&gt;1)),"Utilización fuera de 0-100%",IF(COUNTIFS($A$5:$A$604,A468,$B$5:$B$604,B468,$C$5:$C$604,C468)&gt;1,"Fila duplicada","OK")))))))</f>
        <v/>
      </c>
      <c r="K468" s="9"/>
    </row>
    <row r="469" customFormat="false" ht="15" hidden="false" customHeight="false" outlineLevel="0" collapsed="false">
      <c r="A469" s="7"/>
      <c r="B469" s="8"/>
      <c r="C469" s="9"/>
      <c r="D469" s="20"/>
      <c r="E469" s="10"/>
      <c r="F469" s="9"/>
      <c r="G469" s="11" t="str">
        <f aca="false">IF(C469="","",IFERROR(INDEX(Catálogo!$B$5:$B$2000,MATCH(C469,Catálogo!$A$5:$A$2000,0)),""))</f>
        <v/>
      </c>
      <c r="H469" s="11" t="str">
        <f aca="false">IF(C469="","",IFERROR(INDEX(Catálogo!$C$5:$C$2000,MATCH(C469,Catálogo!$A$5:$A$2000,0)),""))</f>
        <v/>
      </c>
      <c r="I469" s="11" t="str">
        <f aca="false">IF(D469="","",IF(D469&gt;UmbralAlarma,"Alarmante",IF(D469&gt;=UmbralRegular,"Regular","Bueno")))</f>
        <v/>
      </c>
      <c r="J469" s="11" t="str">
        <f aca="true">IF(COUNTA(A469:F469)=0,"",IF(OR(A469="",B469="",C469="",D469=""),"Faltan datos",IF(G469="","AP no está en el catálogo",IF(A469&gt;TODAY()+1,"Fecha futura",IF(OR(D469&lt;0,D469&lt;&gt;INT(D469)),"Usuarios no válidos",IF(AND(E469&lt;&gt;"",OR(E469&lt;0,E469&gt;1)),"Utilización fuera de 0-100%",IF(COUNTIFS($A$5:$A$604,A469,$B$5:$B$604,B469,$C$5:$C$604,C469)&gt;1,"Fila duplicada","OK")))))))</f>
        <v/>
      </c>
      <c r="K469" s="9"/>
    </row>
    <row r="470" customFormat="false" ht="15" hidden="false" customHeight="false" outlineLevel="0" collapsed="false">
      <c r="A470" s="7"/>
      <c r="B470" s="8"/>
      <c r="C470" s="9"/>
      <c r="D470" s="20"/>
      <c r="E470" s="10"/>
      <c r="F470" s="9"/>
      <c r="G470" s="11" t="str">
        <f aca="false">IF(C470="","",IFERROR(INDEX(Catálogo!$B$5:$B$2000,MATCH(C470,Catálogo!$A$5:$A$2000,0)),""))</f>
        <v/>
      </c>
      <c r="H470" s="11" t="str">
        <f aca="false">IF(C470="","",IFERROR(INDEX(Catálogo!$C$5:$C$2000,MATCH(C470,Catálogo!$A$5:$A$2000,0)),""))</f>
        <v/>
      </c>
      <c r="I470" s="11" t="str">
        <f aca="false">IF(D470="","",IF(D470&gt;UmbralAlarma,"Alarmante",IF(D470&gt;=UmbralRegular,"Regular","Bueno")))</f>
        <v/>
      </c>
      <c r="J470" s="11" t="str">
        <f aca="true">IF(COUNTA(A470:F470)=0,"",IF(OR(A470="",B470="",C470="",D470=""),"Faltan datos",IF(G470="","AP no está en el catálogo",IF(A470&gt;TODAY()+1,"Fecha futura",IF(OR(D470&lt;0,D470&lt;&gt;INT(D470)),"Usuarios no válidos",IF(AND(E470&lt;&gt;"",OR(E470&lt;0,E470&gt;1)),"Utilización fuera de 0-100%",IF(COUNTIFS($A$5:$A$604,A470,$B$5:$B$604,B470,$C$5:$C$604,C470)&gt;1,"Fila duplicada","OK")))))))</f>
        <v/>
      </c>
      <c r="K470" s="9"/>
    </row>
    <row r="471" customFormat="false" ht="15" hidden="false" customHeight="false" outlineLevel="0" collapsed="false">
      <c r="A471" s="7"/>
      <c r="B471" s="8"/>
      <c r="C471" s="9"/>
      <c r="D471" s="20"/>
      <c r="E471" s="10"/>
      <c r="F471" s="9"/>
      <c r="G471" s="11" t="str">
        <f aca="false">IF(C471="","",IFERROR(INDEX(Catálogo!$B$5:$B$2000,MATCH(C471,Catálogo!$A$5:$A$2000,0)),""))</f>
        <v/>
      </c>
      <c r="H471" s="11" t="str">
        <f aca="false">IF(C471="","",IFERROR(INDEX(Catálogo!$C$5:$C$2000,MATCH(C471,Catálogo!$A$5:$A$2000,0)),""))</f>
        <v/>
      </c>
      <c r="I471" s="11" t="str">
        <f aca="false">IF(D471="","",IF(D471&gt;UmbralAlarma,"Alarmante",IF(D471&gt;=UmbralRegular,"Regular","Bueno")))</f>
        <v/>
      </c>
      <c r="J471" s="11" t="str">
        <f aca="true">IF(COUNTA(A471:F471)=0,"",IF(OR(A471="",B471="",C471="",D471=""),"Faltan datos",IF(G471="","AP no está en el catálogo",IF(A471&gt;TODAY()+1,"Fecha futura",IF(OR(D471&lt;0,D471&lt;&gt;INT(D471)),"Usuarios no válidos",IF(AND(E471&lt;&gt;"",OR(E471&lt;0,E471&gt;1)),"Utilización fuera de 0-100%",IF(COUNTIFS($A$5:$A$604,A471,$B$5:$B$604,B471,$C$5:$C$604,C471)&gt;1,"Fila duplicada","OK")))))))</f>
        <v/>
      </c>
      <c r="K471" s="9"/>
    </row>
    <row r="472" customFormat="false" ht="15" hidden="false" customHeight="false" outlineLevel="0" collapsed="false">
      <c r="A472" s="7"/>
      <c r="B472" s="8"/>
      <c r="C472" s="9"/>
      <c r="D472" s="20"/>
      <c r="E472" s="10"/>
      <c r="F472" s="9"/>
      <c r="G472" s="11" t="str">
        <f aca="false">IF(C472="","",IFERROR(INDEX(Catálogo!$B$5:$B$2000,MATCH(C472,Catálogo!$A$5:$A$2000,0)),""))</f>
        <v/>
      </c>
      <c r="H472" s="11" t="str">
        <f aca="false">IF(C472="","",IFERROR(INDEX(Catálogo!$C$5:$C$2000,MATCH(C472,Catálogo!$A$5:$A$2000,0)),""))</f>
        <v/>
      </c>
      <c r="I472" s="11" t="str">
        <f aca="false">IF(D472="","",IF(D472&gt;UmbralAlarma,"Alarmante",IF(D472&gt;=UmbralRegular,"Regular","Bueno")))</f>
        <v/>
      </c>
      <c r="J472" s="11" t="str">
        <f aca="true">IF(COUNTA(A472:F472)=0,"",IF(OR(A472="",B472="",C472="",D472=""),"Faltan datos",IF(G472="","AP no está en el catálogo",IF(A472&gt;TODAY()+1,"Fecha futura",IF(OR(D472&lt;0,D472&lt;&gt;INT(D472)),"Usuarios no válidos",IF(AND(E472&lt;&gt;"",OR(E472&lt;0,E472&gt;1)),"Utilización fuera de 0-100%",IF(COUNTIFS($A$5:$A$604,A472,$B$5:$B$604,B472,$C$5:$C$604,C472)&gt;1,"Fila duplicada","OK")))))))</f>
        <v/>
      </c>
      <c r="K472" s="9"/>
    </row>
    <row r="473" customFormat="false" ht="15" hidden="false" customHeight="false" outlineLevel="0" collapsed="false">
      <c r="A473" s="7"/>
      <c r="B473" s="8"/>
      <c r="C473" s="9"/>
      <c r="D473" s="20"/>
      <c r="E473" s="10"/>
      <c r="F473" s="9"/>
      <c r="G473" s="11" t="str">
        <f aca="false">IF(C473="","",IFERROR(INDEX(Catálogo!$B$5:$B$2000,MATCH(C473,Catálogo!$A$5:$A$2000,0)),""))</f>
        <v/>
      </c>
      <c r="H473" s="11" t="str">
        <f aca="false">IF(C473="","",IFERROR(INDEX(Catálogo!$C$5:$C$2000,MATCH(C473,Catálogo!$A$5:$A$2000,0)),""))</f>
        <v/>
      </c>
      <c r="I473" s="11" t="str">
        <f aca="false">IF(D473="","",IF(D473&gt;UmbralAlarma,"Alarmante",IF(D473&gt;=UmbralRegular,"Regular","Bueno")))</f>
        <v/>
      </c>
      <c r="J473" s="11" t="str">
        <f aca="true">IF(COUNTA(A473:F473)=0,"",IF(OR(A473="",B473="",C473="",D473=""),"Faltan datos",IF(G473="","AP no está en el catálogo",IF(A473&gt;TODAY()+1,"Fecha futura",IF(OR(D473&lt;0,D473&lt;&gt;INT(D473)),"Usuarios no válidos",IF(AND(E473&lt;&gt;"",OR(E473&lt;0,E473&gt;1)),"Utilización fuera de 0-100%",IF(COUNTIFS($A$5:$A$604,A473,$B$5:$B$604,B473,$C$5:$C$604,C473)&gt;1,"Fila duplicada","OK")))))))</f>
        <v/>
      </c>
      <c r="K473" s="9"/>
    </row>
    <row r="474" customFormat="false" ht="15" hidden="false" customHeight="false" outlineLevel="0" collapsed="false">
      <c r="A474" s="7"/>
      <c r="B474" s="8"/>
      <c r="C474" s="9"/>
      <c r="D474" s="20"/>
      <c r="E474" s="10"/>
      <c r="F474" s="9"/>
      <c r="G474" s="11" t="str">
        <f aca="false">IF(C474="","",IFERROR(INDEX(Catálogo!$B$5:$B$2000,MATCH(C474,Catálogo!$A$5:$A$2000,0)),""))</f>
        <v/>
      </c>
      <c r="H474" s="11" t="str">
        <f aca="false">IF(C474="","",IFERROR(INDEX(Catálogo!$C$5:$C$2000,MATCH(C474,Catálogo!$A$5:$A$2000,0)),""))</f>
        <v/>
      </c>
      <c r="I474" s="11" t="str">
        <f aca="false">IF(D474="","",IF(D474&gt;UmbralAlarma,"Alarmante",IF(D474&gt;=UmbralRegular,"Regular","Bueno")))</f>
        <v/>
      </c>
      <c r="J474" s="11" t="str">
        <f aca="true">IF(COUNTA(A474:F474)=0,"",IF(OR(A474="",B474="",C474="",D474=""),"Faltan datos",IF(G474="","AP no está en el catálogo",IF(A474&gt;TODAY()+1,"Fecha futura",IF(OR(D474&lt;0,D474&lt;&gt;INT(D474)),"Usuarios no válidos",IF(AND(E474&lt;&gt;"",OR(E474&lt;0,E474&gt;1)),"Utilización fuera de 0-100%",IF(COUNTIFS($A$5:$A$604,A474,$B$5:$B$604,B474,$C$5:$C$604,C474)&gt;1,"Fila duplicada","OK")))))))</f>
        <v/>
      </c>
      <c r="K474" s="9"/>
    </row>
    <row r="475" customFormat="false" ht="15" hidden="false" customHeight="false" outlineLevel="0" collapsed="false">
      <c r="A475" s="7"/>
      <c r="B475" s="8"/>
      <c r="C475" s="9"/>
      <c r="D475" s="20"/>
      <c r="E475" s="10"/>
      <c r="F475" s="9"/>
      <c r="G475" s="11" t="str">
        <f aca="false">IF(C475="","",IFERROR(INDEX(Catálogo!$B$5:$B$2000,MATCH(C475,Catálogo!$A$5:$A$2000,0)),""))</f>
        <v/>
      </c>
      <c r="H475" s="11" t="str">
        <f aca="false">IF(C475="","",IFERROR(INDEX(Catálogo!$C$5:$C$2000,MATCH(C475,Catálogo!$A$5:$A$2000,0)),""))</f>
        <v/>
      </c>
      <c r="I475" s="11" t="str">
        <f aca="false">IF(D475="","",IF(D475&gt;UmbralAlarma,"Alarmante",IF(D475&gt;=UmbralRegular,"Regular","Bueno")))</f>
        <v/>
      </c>
      <c r="J475" s="11" t="str">
        <f aca="true">IF(COUNTA(A475:F475)=0,"",IF(OR(A475="",B475="",C475="",D475=""),"Faltan datos",IF(G475="","AP no está en el catálogo",IF(A475&gt;TODAY()+1,"Fecha futura",IF(OR(D475&lt;0,D475&lt;&gt;INT(D475)),"Usuarios no válidos",IF(AND(E475&lt;&gt;"",OR(E475&lt;0,E475&gt;1)),"Utilización fuera de 0-100%",IF(COUNTIFS($A$5:$A$604,A475,$B$5:$B$604,B475,$C$5:$C$604,C475)&gt;1,"Fila duplicada","OK")))))))</f>
        <v/>
      </c>
      <c r="K475" s="9"/>
    </row>
    <row r="476" customFormat="false" ht="15" hidden="false" customHeight="false" outlineLevel="0" collapsed="false">
      <c r="A476" s="7"/>
      <c r="B476" s="8"/>
      <c r="C476" s="9"/>
      <c r="D476" s="20"/>
      <c r="E476" s="10"/>
      <c r="F476" s="9"/>
      <c r="G476" s="11" t="str">
        <f aca="false">IF(C476="","",IFERROR(INDEX(Catálogo!$B$5:$B$2000,MATCH(C476,Catálogo!$A$5:$A$2000,0)),""))</f>
        <v/>
      </c>
      <c r="H476" s="11" t="str">
        <f aca="false">IF(C476="","",IFERROR(INDEX(Catálogo!$C$5:$C$2000,MATCH(C476,Catálogo!$A$5:$A$2000,0)),""))</f>
        <v/>
      </c>
      <c r="I476" s="11" t="str">
        <f aca="false">IF(D476="","",IF(D476&gt;UmbralAlarma,"Alarmante",IF(D476&gt;=UmbralRegular,"Regular","Bueno")))</f>
        <v/>
      </c>
      <c r="J476" s="11" t="str">
        <f aca="true">IF(COUNTA(A476:F476)=0,"",IF(OR(A476="",B476="",C476="",D476=""),"Faltan datos",IF(G476="","AP no está en el catálogo",IF(A476&gt;TODAY()+1,"Fecha futura",IF(OR(D476&lt;0,D476&lt;&gt;INT(D476)),"Usuarios no válidos",IF(AND(E476&lt;&gt;"",OR(E476&lt;0,E476&gt;1)),"Utilización fuera de 0-100%",IF(COUNTIFS($A$5:$A$604,A476,$B$5:$B$604,B476,$C$5:$C$604,C476)&gt;1,"Fila duplicada","OK")))))))</f>
        <v/>
      </c>
      <c r="K476" s="9"/>
    </row>
    <row r="477" customFormat="false" ht="15" hidden="false" customHeight="false" outlineLevel="0" collapsed="false">
      <c r="A477" s="7"/>
      <c r="B477" s="8"/>
      <c r="C477" s="9"/>
      <c r="D477" s="20"/>
      <c r="E477" s="10"/>
      <c r="F477" s="9"/>
      <c r="G477" s="11" t="str">
        <f aca="false">IF(C477="","",IFERROR(INDEX(Catálogo!$B$5:$B$2000,MATCH(C477,Catálogo!$A$5:$A$2000,0)),""))</f>
        <v/>
      </c>
      <c r="H477" s="11" t="str">
        <f aca="false">IF(C477="","",IFERROR(INDEX(Catálogo!$C$5:$C$2000,MATCH(C477,Catálogo!$A$5:$A$2000,0)),""))</f>
        <v/>
      </c>
      <c r="I477" s="11" t="str">
        <f aca="false">IF(D477="","",IF(D477&gt;UmbralAlarma,"Alarmante",IF(D477&gt;=UmbralRegular,"Regular","Bueno")))</f>
        <v/>
      </c>
      <c r="J477" s="11" t="str">
        <f aca="true">IF(COUNTA(A477:F477)=0,"",IF(OR(A477="",B477="",C477="",D477=""),"Faltan datos",IF(G477="","AP no está en el catálogo",IF(A477&gt;TODAY()+1,"Fecha futura",IF(OR(D477&lt;0,D477&lt;&gt;INT(D477)),"Usuarios no válidos",IF(AND(E477&lt;&gt;"",OR(E477&lt;0,E477&gt;1)),"Utilización fuera de 0-100%",IF(COUNTIFS($A$5:$A$604,A477,$B$5:$B$604,B477,$C$5:$C$604,C477)&gt;1,"Fila duplicada","OK")))))))</f>
        <v/>
      </c>
      <c r="K477" s="9"/>
    </row>
    <row r="478" customFormat="false" ht="15" hidden="false" customHeight="false" outlineLevel="0" collapsed="false">
      <c r="A478" s="7"/>
      <c r="B478" s="8"/>
      <c r="C478" s="9"/>
      <c r="D478" s="20"/>
      <c r="E478" s="10"/>
      <c r="F478" s="9"/>
      <c r="G478" s="11" t="str">
        <f aca="false">IF(C478="","",IFERROR(INDEX(Catálogo!$B$5:$B$2000,MATCH(C478,Catálogo!$A$5:$A$2000,0)),""))</f>
        <v/>
      </c>
      <c r="H478" s="11" t="str">
        <f aca="false">IF(C478="","",IFERROR(INDEX(Catálogo!$C$5:$C$2000,MATCH(C478,Catálogo!$A$5:$A$2000,0)),""))</f>
        <v/>
      </c>
      <c r="I478" s="11" t="str">
        <f aca="false">IF(D478="","",IF(D478&gt;UmbralAlarma,"Alarmante",IF(D478&gt;=UmbralRegular,"Regular","Bueno")))</f>
        <v/>
      </c>
      <c r="J478" s="11" t="str">
        <f aca="true">IF(COUNTA(A478:F478)=0,"",IF(OR(A478="",B478="",C478="",D478=""),"Faltan datos",IF(G478="","AP no está en el catálogo",IF(A478&gt;TODAY()+1,"Fecha futura",IF(OR(D478&lt;0,D478&lt;&gt;INT(D478)),"Usuarios no válidos",IF(AND(E478&lt;&gt;"",OR(E478&lt;0,E478&gt;1)),"Utilización fuera de 0-100%",IF(COUNTIFS($A$5:$A$604,A478,$B$5:$B$604,B478,$C$5:$C$604,C478)&gt;1,"Fila duplicada","OK")))))))</f>
        <v/>
      </c>
      <c r="K478" s="9"/>
    </row>
    <row r="479" customFormat="false" ht="15" hidden="false" customHeight="false" outlineLevel="0" collapsed="false">
      <c r="A479" s="7"/>
      <c r="B479" s="8"/>
      <c r="C479" s="9"/>
      <c r="D479" s="20"/>
      <c r="E479" s="10"/>
      <c r="F479" s="9"/>
      <c r="G479" s="11" t="str">
        <f aca="false">IF(C479="","",IFERROR(INDEX(Catálogo!$B$5:$B$2000,MATCH(C479,Catálogo!$A$5:$A$2000,0)),""))</f>
        <v/>
      </c>
      <c r="H479" s="11" t="str">
        <f aca="false">IF(C479="","",IFERROR(INDEX(Catálogo!$C$5:$C$2000,MATCH(C479,Catálogo!$A$5:$A$2000,0)),""))</f>
        <v/>
      </c>
      <c r="I479" s="11" t="str">
        <f aca="false">IF(D479="","",IF(D479&gt;UmbralAlarma,"Alarmante",IF(D479&gt;=UmbralRegular,"Regular","Bueno")))</f>
        <v/>
      </c>
      <c r="J479" s="11" t="str">
        <f aca="true">IF(COUNTA(A479:F479)=0,"",IF(OR(A479="",B479="",C479="",D479=""),"Faltan datos",IF(G479="","AP no está en el catálogo",IF(A479&gt;TODAY()+1,"Fecha futura",IF(OR(D479&lt;0,D479&lt;&gt;INT(D479)),"Usuarios no válidos",IF(AND(E479&lt;&gt;"",OR(E479&lt;0,E479&gt;1)),"Utilización fuera de 0-100%",IF(COUNTIFS($A$5:$A$604,A479,$B$5:$B$604,B479,$C$5:$C$604,C479)&gt;1,"Fila duplicada","OK")))))))</f>
        <v/>
      </c>
      <c r="K479" s="9"/>
    </row>
    <row r="480" customFormat="false" ht="15" hidden="false" customHeight="false" outlineLevel="0" collapsed="false">
      <c r="A480" s="7"/>
      <c r="B480" s="8"/>
      <c r="C480" s="9"/>
      <c r="D480" s="20"/>
      <c r="E480" s="10"/>
      <c r="F480" s="9"/>
      <c r="G480" s="11" t="str">
        <f aca="false">IF(C480="","",IFERROR(INDEX(Catálogo!$B$5:$B$2000,MATCH(C480,Catálogo!$A$5:$A$2000,0)),""))</f>
        <v/>
      </c>
      <c r="H480" s="11" t="str">
        <f aca="false">IF(C480="","",IFERROR(INDEX(Catálogo!$C$5:$C$2000,MATCH(C480,Catálogo!$A$5:$A$2000,0)),""))</f>
        <v/>
      </c>
      <c r="I480" s="11" t="str">
        <f aca="false">IF(D480="","",IF(D480&gt;UmbralAlarma,"Alarmante",IF(D480&gt;=UmbralRegular,"Regular","Bueno")))</f>
        <v/>
      </c>
      <c r="J480" s="11" t="str">
        <f aca="true">IF(COUNTA(A480:F480)=0,"",IF(OR(A480="",B480="",C480="",D480=""),"Faltan datos",IF(G480="","AP no está en el catálogo",IF(A480&gt;TODAY()+1,"Fecha futura",IF(OR(D480&lt;0,D480&lt;&gt;INT(D480)),"Usuarios no válidos",IF(AND(E480&lt;&gt;"",OR(E480&lt;0,E480&gt;1)),"Utilización fuera de 0-100%",IF(COUNTIFS($A$5:$A$604,A480,$B$5:$B$604,B480,$C$5:$C$604,C480)&gt;1,"Fila duplicada","OK")))))))</f>
        <v/>
      </c>
      <c r="K480" s="9"/>
    </row>
    <row r="481" customFormat="false" ht="15" hidden="false" customHeight="false" outlineLevel="0" collapsed="false">
      <c r="A481" s="7"/>
      <c r="B481" s="8"/>
      <c r="C481" s="9"/>
      <c r="D481" s="20"/>
      <c r="E481" s="10"/>
      <c r="F481" s="9"/>
      <c r="G481" s="11" t="str">
        <f aca="false">IF(C481="","",IFERROR(INDEX(Catálogo!$B$5:$B$2000,MATCH(C481,Catálogo!$A$5:$A$2000,0)),""))</f>
        <v/>
      </c>
      <c r="H481" s="11" t="str">
        <f aca="false">IF(C481="","",IFERROR(INDEX(Catálogo!$C$5:$C$2000,MATCH(C481,Catálogo!$A$5:$A$2000,0)),""))</f>
        <v/>
      </c>
      <c r="I481" s="11" t="str">
        <f aca="false">IF(D481="","",IF(D481&gt;UmbralAlarma,"Alarmante",IF(D481&gt;=UmbralRegular,"Regular","Bueno")))</f>
        <v/>
      </c>
      <c r="J481" s="11" t="str">
        <f aca="true">IF(COUNTA(A481:F481)=0,"",IF(OR(A481="",B481="",C481="",D481=""),"Faltan datos",IF(G481="","AP no está en el catálogo",IF(A481&gt;TODAY()+1,"Fecha futura",IF(OR(D481&lt;0,D481&lt;&gt;INT(D481)),"Usuarios no válidos",IF(AND(E481&lt;&gt;"",OR(E481&lt;0,E481&gt;1)),"Utilización fuera de 0-100%",IF(COUNTIFS($A$5:$A$604,A481,$B$5:$B$604,B481,$C$5:$C$604,C481)&gt;1,"Fila duplicada","OK")))))))</f>
        <v/>
      </c>
      <c r="K481" s="9"/>
    </row>
    <row r="482" customFormat="false" ht="15" hidden="false" customHeight="false" outlineLevel="0" collapsed="false">
      <c r="A482" s="7"/>
      <c r="B482" s="8"/>
      <c r="C482" s="9"/>
      <c r="D482" s="20"/>
      <c r="E482" s="10"/>
      <c r="F482" s="9"/>
      <c r="G482" s="11" t="str">
        <f aca="false">IF(C482="","",IFERROR(INDEX(Catálogo!$B$5:$B$2000,MATCH(C482,Catálogo!$A$5:$A$2000,0)),""))</f>
        <v/>
      </c>
      <c r="H482" s="11" t="str">
        <f aca="false">IF(C482="","",IFERROR(INDEX(Catálogo!$C$5:$C$2000,MATCH(C482,Catálogo!$A$5:$A$2000,0)),""))</f>
        <v/>
      </c>
      <c r="I482" s="11" t="str">
        <f aca="false">IF(D482="","",IF(D482&gt;UmbralAlarma,"Alarmante",IF(D482&gt;=UmbralRegular,"Regular","Bueno")))</f>
        <v/>
      </c>
      <c r="J482" s="11" t="str">
        <f aca="true">IF(COUNTA(A482:F482)=0,"",IF(OR(A482="",B482="",C482="",D482=""),"Faltan datos",IF(G482="","AP no está en el catálogo",IF(A482&gt;TODAY()+1,"Fecha futura",IF(OR(D482&lt;0,D482&lt;&gt;INT(D482)),"Usuarios no válidos",IF(AND(E482&lt;&gt;"",OR(E482&lt;0,E482&gt;1)),"Utilización fuera de 0-100%",IF(COUNTIFS($A$5:$A$604,A482,$B$5:$B$604,B482,$C$5:$C$604,C482)&gt;1,"Fila duplicada","OK")))))))</f>
        <v/>
      </c>
      <c r="K482" s="9"/>
    </row>
    <row r="483" customFormat="false" ht="15" hidden="false" customHeight="false" outlineLevel="0" collapsed="false">
      <c r="A483" s="7"/>
      <c r="B483" s="8"/>
      <c r="C483" s="9"/>
      <c r="D483" s="20"/>
      <c r="E483" s="10"/>
      <c r="F483" s="9"/>
      <c r="G483" s="11" t="str">
        <f aca="false">IF(C483="","",IFERROR(INDEX(Catálogo!$B$5:$B$2000,MATCH(C483,Catálogo!$A$5:$A$2000,0)),""))</f>
        <v/>
      </c>
      <c r="H483" s="11" t="str">
        <f aca="false">IF(C483="","",IFERROR(INDEX(Catálogo!$C$5:$C$2000,MATCH(C483,Catálogo!$A$5:$A$2000,0)),""))</f>
        <v/>
      </c>
      <c r="I483" s="11" t="str">
        <f aca="false">IF(D483="","",IF(D483&gt;UmbralAlarma,"Alarmante",IF(D483&gt;=UmbralRegular,"Regular","Bueno")))</f>
        <v/>
      </c>
      <c r="J483" s="11" t="str">
        <f aca="true">IF(COUNTA(A483:F483)=0,"",IF(OR(A483="",B483="",C483="",D483=""),"Faltan datos",IF(G483="","AP no está en el catálogo",IF(A483&gt;TODAY()+1,"Fecha futura",IF(OR(D483&lt;0,D483&lt;&gt;INT(D483)),"Usuarios no válidos",IF(AND(E483&lt;&gt;"",OR(E483&lt;0,E483&gt;1)),"Utilización fuera de 0-100%",IF(COUNTIFS($A$5:$A$604,A483,$B$5:$B$604,B483,$C$5:$C$604,C483)&gt;1,"Fila duplicada","OK")))))))</f>
        <v/>
      </c>
      <c r="K483" s="9"/>
    </row>
    <row r="484" customFormat="false" ht="15" hidden="false" customHeight="false" outlineLevel="0" collapsed="false">
      <c r="A484" s="7"/>
      <c r="B484" s="8"/>
      <c r="C484" s="9"/>
      <c r="D484" s="20"/>
      <c r="E484" s="10"/>
      <c r="F484" s="9"/>
      <c r="G484" s="11" t="str">
        <f aca="false">IF(C484="","",IFERROR(INDEX(Catálogo!$B$5:$B$2000,MATCH(C484,Catálogo!$A$5:$A$2000,0)),""))</f>
        <v/>
      </c>
      <c r="H484" s="11" t="str">
        <f aca="false">IF(C484="","",IFERROR(INDEX(Catálogo!$C$5:$C$2000,MATCH(C484,Catálogo!$A$5:$A$2000,0)),""))</f>
        <v/>
      </c>
      <c r="I484" s="11" t="str">
        <f aca="false">IF(D484="","",IF(D484&gt;UmbralAlarma,"Alarmante",IF(D484&gt;=UmbralRegular,"Regular","Bueno")))</f>
        <v/>
      </c>
      <c r="J484" s="11" t="str">
        <f aca="true">IF(COUNTA(A484:F484)=0,"",IF(OR(A484="",B484="",C484="",D484=""),"Faltan datos",IF(G484="","AP no está en el catálogo",IF(A484&gt;TODAY()+1,"Fecha futura",IF(OR(D484&lt;0,D484&lt;&gt;INT(D484)),"Usuarios no válidos",IF(AND(E484&lt;&gt;"",OR(E484&lt;0,E484&gt;1)),"Utilización fuera de 0-100%",IF(COUNTIFS($A$5:$A$604,A484,$B$5:$B$604,B484,$C$5:$C$604,C484)&gt;1,"Fila duplicada","OK")))))))</f>
        <v/>
      </c>
      <c r="K484" s="9"/>
    </row>
    <row r="485" customFormat="false" ht="15" hidden="false" customHeight="false" outlineLevel="0" collapsed="false">
      <c r="A485" s="7"/>
      <c r="B485" s="8"/>
      <c r="C485" s="9"/>
      <c r="D485" s="20"/>
      <c r="E485" s="10"/>
      <c r="F485" s="9"/>
      <c r="G485" s="11" t="str">
        <f aca="false">IF(C485="","",IFERROR(INDEX(Catálogo!$B$5:$B$2000,MATCH(C485,Catálogo!$A$5:$A$2000,0)),""))</f>
        <v/>
      </c>
      <c r="H485" s="11" t="str">
        <f aca="false">IF(C485="","",IFERROR(INDEX(Catálogo!$C$5:$C$2000,MATCH(C485,Catálogo!$A$5:$A$2000,0)),""))</f>
        <v/>
      </c>
      <c r="I485" s="11" t="str">
        <f aca="false">IF(D485="","",IF(D485&gt;UmbralAlarma,"Alarmante",IF(D485&gt;=UmbralRegular,"Regular","Bueno")))</f>
        <v/>
      </c>
      <c r="J485" s="11" t="str">
        <f aca="true">IF(COUNTA(A485:F485)=0,"",IF(OR(A485="",B485="",C485="",D485=""),"Faltan datos",IF(G485="","AP no está en el catálogo",IF(A485&gt;TODAY()+1,"Fecha futura",IF(OR(D485&lt;0,D485&lt;&gt;INT(D485)),"Usuarios no válidos",IF(AND(E485&lt;&gt;"",OR(E485&lt;0,E485&gt;1)),"Utilización fuera de 0-100%",IF(COUNTIFS($A$5:$A$604,A485,$B$5:$B$604,B485,$C$5:$C$604,C485)&gt;1,"Fila duplicada","OK")))))))</f>
        <v/>
      </c>
      <c r="K485" s="9"/>
    </row>
    <row r="486" customFormat="false" ht="15" hidden="false" customHeight="false" outlineLevel="0" collapsed="false">
      <c r="A486" s="7"/>
      <c r="B486" s="8"/>
      <c r="C486" s="9"/>
      <c r="D486" s="20"/>
      <c r="E486" s="10"/>
      <c r="F486" s="9"/>
      <c r="G486" s="11" t="str">
        <f aca="false">IF(C486="","",IFERROR(INDEX(Catálogo!$B$5:$B$2000,MATCH(C486,Catálogo!$A$5:$A$2000,0)),""))</f>
        <v/>
      </c>
      <c r="H486" s="11" t="str">
        <f aca="false">IF(C486="","",IFERROR(INDEX(Catálogo!$C$5:$C$2000,MATCH(C486,Catálogo!$A$5:$A$2000,0)),""))</f>
        <v/>
      </c>
      <c r="I486" s="11" t="str">
        <f aca="false">IF(D486="","",IF(D486&gt;UmbralAlarma,"Alarmante",IF(D486&gt;=UmbralRegular,"Regular","Bueno")))</f>
        <v/>
      </c>
      <c r="J486" s="11" t="str">
        <f aca="true">IF(COUNTA(A486:F486)=0,"",IF(OR(A486="",B486="",C486="",D486=""),"Faltan datos",IF(G486="","AP no está en el catálogo",IF(A486&gt;TODAY()+1,"Fecha futura",IF(OR(D486&lt;0,D486&lt;&gt;INT(D486)),"Usuarios no válidos",IF(AND(E486&lt;&gt;"",OR(E486&lt;0,E486&gt;1)),"Utilización fuera de 0-100%",IF(COUNTIFS($A$5:$A$604,A486,$B$5:$B$604,B486,$C$5:$C$604,C486)&gt;1,"Fila duplicada","OK")))))))</f>
        <v/>
      </c>
      <c r="K486" s="9"/>
    </row>
    <row r="487" customFormat="false" ht="15" hidden="false" customHeight="false" outlineLevel="0" collapsed="false">
      <c r="A487" s="7"/>
      <c r="B487" s="8"/>
      <c r="C487" s="9"/>
      <c r="D487" s="20"/>
      <c r="E487" s="10"/>
      <c r="F487" s="9"/>
      <c r="G487" s="11" t="str">
        <f aca="false">IF(C487="","",IFERROR(INDEX(Catálogo!$B$5:$B$2000,MATCH(C487,Catálogo!$A$5:$A$2000,0)),""))</f>
        <v/>
      </c>
      <c r="H487" s="11" t="str">
        <f aca="false">IF(C487="","",IFERROR(INDEX(Catálogo!$C$5:$C$2000,MATCH(C487,Catálogo!$A$5:$A$2000,0)),""))</f>
        <v/>
      </c>
      <c r="I487" s="11" t="str">
        <f aca="false">IF(D487="","",IF(D487&gt;UmbralAlarma,"Alarmante",IF(D487&gt;=UmbralRegular,"Regular","Bueno")))</f>
        <v/>
      </c>
      <c r="J487" s="11" t="str">
        <f aca="true">IF(COUNTA(A487:F487)=0,"",IF(OR(A487="",B487="",C487="",D487=""),"Faltan datos",IF(G487="","AP no está en el catálogo",IF(A487&gt;TODAY()+1,"Fecha futura",IF(OR(D487&lt;0,D487&lt;&gt;INT(D487)),"Usuarios no válidos",IF(AND(E487&lt;&gt;"",OR(E487&lt;0,E487&gt;1)),"Utilización fuera de 0-100%",IF(COUNTIFS($A$5:$A$604,A487,$B$5:$B$604,B487,$C$5:$C$604,C487)&gt;1,"Fila duplicada","OK")))))))</f>
        <v/>
      </c>
      <c r="K487" s="9"/>
    </row>
    <row r="488" customFormat="false" ht="15" hidden="false" customHeight="false" outlineLevel="0" collapsed="false">
      <c r="A488" s="7"/>
      <c r="B488" s="8"/>
      <c r="C488" s="9"/>
      <c r="D488" s="20"/>
      <c r="E488" s="10"/>
      <c r="F488" s="9"/>
      <c r="G488" s="11" t="str">
        <f aca="false">IF(C488="","",IFERROR(INDEX(Catálogo!$B$5:$B$2000,MATCH(C488,Catálogo!$A$5:$A$2000,0)),""))</f>
        <v/>
      </c>
      <c r="H488" s="11" t="str">
        <f aca="false">IF(C488="","",IFERROR(INDEX(Catálogo!$C$5:$C$2000,MATCH(C488,Catálogo!$A$5:$A$2000,0)),""))</f>
        <v/>
      </c>
      <c r="I488" s="11" t="str">
        <f aca="false">IF(D488="","",IF(D488&gt;UmbralAlarma,"Alarmante",IF(D488&gt;=UmbralRegular,"Regular","Bueno")))</f>
        <v/>
      </c>
      <c r="J488" s="11" t="str">
        <f aca="true">IF(COUNTA(A488:F488)=0,"",IF(OR(A488="",B488="",C488="",D488=""),"Faltan datos",IF(G488="","AP no está en el catálogo",IF(A488&gt;TODAY()+1,"Fecha futura",IF(OR(D488&lt;0,D488&lt;&gt;INT(D488)),"Usuarios no válidos",IF(AND(E488&lt;&gt;"",OR(E488&lt;0,E488&gt;1)),"Utilización fuera de 0-100%",IF(COUNTIFS($A$5:$A$604,A488,$B$5:$B$604,B488,$C$5:$C$604,C488)&gt;1,"Fila duplicada","OK")))))))</f>
        <v/>
      </c>
      <c r="K488" s="9"/>
    </row>
    <row r="489" customFormat="false" ht="15" hidden="false" customHeight="false" outlineLevel="0" collapsed="false">
      <c r="A489" s="7"/>
      <c r="B489" s="8"/>
      <c r="C489" s="9"/>
      <c r="D489" s="20"/>
      <c r="E489" s="10"/>
      <c r="F489" s="9"/>
      <c r="G489" s="11" t="str">
        <f aca="false">IF(C489="","",IFERROR(INDEX(Catálogo!$B$5:$B$2000,MATCH(C489,Catálogo!$A$5:$A$2000,0)),""))</f>
        <v/>
      </c>
      <c r="H489" s="11" t="str">
        <f aca="false">IF(C489="","",IFERROR(INDEX(Catálogo!$C$5:$C$2000,MATCH(C489,Catálogo!$A$5:$A$2000,0)),""))</f>
        <v/>
      </c>
      <c r="I489" s="11" t="str">
        <f aca="false">IF(D489="","",IF(D489&gt;UmbralAlarma,"Alarmante",IF(D489&gt;=UmbralRegular,"Regular","Bueno")))</f>
        <v/>
      </c>
      <c r="J489" s="11" t="str">
        <f aca="true">IF(COUNTA(A489:F489)=0,"",IF(OR(A489="",B489="",C489="",D489=""),"Faltan datos",IF(G489="","AP no está en el catálogo",IF(A489&gt;TODAY()+1,"Fecha futura",IF(OR(D489&lt;0,D489&lt;&gt;INT(D489)),"Usuarios no válidos",IF(AND(E489&lt;&gt;"",OR(E489&lt;0,E489&gt;1)),"Utilización fuera de 0-100%",IF(COUNTIFS($A$5:$A$604,A489,$B$5:$B$604,B489,$C$5:$C$604,C489)&gt;1,"Fila duplicada","OK")))))))</f>
        <v/>
      </c>
      <c r="K489" s="9"/>
    </row>
    <row r="490" customFormat="false" ht="15" hidden="false" customHeight="false" outlineLevel="0" collapsed="false">
      <c r="A490" s="7"/>
      <c r="B490" s="8"/>
      <c r="C490" s="9"/>
      <c r="D490" s="20"/>
      <c r="E490" s="10"/>
      <c r="F490" s="9"/>
      <c r="G490" s="11" t="str">
        <f aca="false">IF(C490="","",IFERROR(INDEX(Catálogo!$B$5:$B$2000,MATCH(C490,Catálogo!$A$5:$A$2000,0)),""))</f>
        <v/>
      </c>
      <c r="H490" s="11" t="str">
        <f aca="false">IF(C490="","",IFERROR(INDEX(Catálogo!$C$5:$C$2000,MATCH(C490,Catálogo!$A$5:$A$2000,0)),""))</f>
        <v/>
      </c>
      <c r="I490" s="11" t="str">
        <f aca="false">IF(D490="","",IF(D490&gt;UmbralAlarma,"Alarmante",IF(D490&gt;=UmbralRegular,"Regular","Bueno")))</f>
        <v/>
      </c>
      <c r="J490" s="11" t="str">
        <f aca="true">IF(COUNTA(A490:F490)=0,"",IF(OR(A490="",B490="",C490="",D490=""),"Faltan datos",IF(G490="","AP no está en el catálogo",IF(A490&gt;TODAY()+1,"Fecha futura",IF(OR(D490&lt;0,D490&lt;&gt;INT(D490)),"Usuarios no válidos",IF(AND(E490&lt;&gt;"",OR(E490&lt;0,E490&gt;1)),"Utilización fuera de 0-100%",IF(COUNTIFS($A$5:$A$604,A490,$B$5:$B$604,B490,$C$5:$C$604,C490)&gt;1,"Fila duplicada","OK")))))))</f>
        <v/>
      </c>
      <c r="K490" s="9"/>
    </row>
    <row r="491" customFormat="false" ht="15" hidden="false" customHeight="false" outlineLevel="0" collapsed="false">
      <c r="A491" s="7"/>
      <c r="B491" s="8"/>
      <c r="C491" s="9"/>
      <c r="D491" s="20"/>
      <c r="E491" s="10"/>
      <c r="F491" s="9"/>
      <c r="G491" s="11" t="str">
        <f aca="false">IF(C491="","",IFERROR(INDEX(Catálogo!$B$5:$B$2000,MATCH(C491,Catálogo!$A$5:$A$2000,0)),""))</f>
        <v/>
      </c>
      <c r="H491" s="11" t="str">
        <f aca="false">IF(C491="","",IFERROR(INDEX(Catálogo!$C$5:$C$2000,MATCH(C491,Catálogo!$A$5:$A$2000,0)),""))</f>
        <v/>
      </c>
      <c r="I491" s="11" t="str">
        <f aca="false">IF(D491="","",IF(D491&gt;UmbralAlarma,"Alarmante",IF(D491&gt;=UmbralRegular,"Regular","Bueno")))</f>
        <v/>
      </c>
      <c r="J491" s="11" t="str">
        <f aca="true">IF(COUNTA(A491:F491)=0,"",IF(OR(A491="",B491="",C491="",D491=""),"Faltan datos",IF(G491="","AP no está en el catálogo",IF(A491&gt;TODAY()+1,"Fecha futura",IF(OR(D491&lt;0,D491&lt;&gt;INT(D491)),"Usuarios no válidos",IF(AND(E491&lt;&gt;"",OR(E491&lt;0,E491&gt;1)),"Utilización fuera de 0-100%",IF(COUNTIFS($A$5:$A$604,A491,$B$5:$B$604,B491,$C$5:$C$604,C491)&gt;1,"Fila duplicada","OK")))))))</f>
        <v/>
      </c>
      <c r="K491" s="9"/>
    </row>
    <row r="492" customFormat="false" ht="15" hidden="false" customHeight="false" outlineLevel="0" collapsed="false">
      <c r="A492" s="7"/>
      <c r="B492" s="8"/>
      <c r="C492" s="9"/>
      <c r="D492" s="20"/>
      <c r="E492" s="10"/>
      <c r="F492" s="9"/>
      <c r="G492" s="11" t="str">
        <f aca="false">IF(C492="","",IFERROR(INDEX(Catálogo!$B$5:$B$2000,MATCH(C492,Catálogo!$A$5:$A$2000,0)),""))</f>
        <v/>
      </c>
      <c r="H492" s="11" t="str">
        <f aca="false">IF(C492="","",IFERROR(INDEX(Catálogo!$C$5:$C$2000,MATCH(C492,Catálogo!$A$5:$A$2000,0)),""))</f>
        <v/>
      </c>
      <c r="I492" s="11" t="str">
        <f aca="false">IF(D492="","",IF(D492&gt;UmbralAlarma,"Alarmante",IF(D492&gt;=UmbralRegular,"Regular","Bueno")))</f>
        <v/>
      </c>
      <c r="J492" s="11" t="str">
        <f aca="true">IF(COUNTA(A492:F492)=0,"",IF(OR(A492="",B492="",C492="",D492=""),"Faltan datos",IF(G492="","AP no está en el catálogo",IF(A492&gt;TODAY()+1,"Fecha futura",IF(OR(D492&lt;0,D492&lt;&gt;INT(D492)),"Usuarios no válidos",IF(AND(E492&lt;&gt;"",OR(E492&lt;0,E492&gt;1)),"Utilización fuera de 0-100%",IF(COUNTIFS($A$5:$A$604,A492,$B$5:$B$604,B492,$C$5:$C$604,C492)&gt;1,"Fila duplicada","OK")))))))</f>
        <v/>
      </c>
      <c r="K492" s="9"/>
    </row>
    <row r="493" customFormat="false" ht="15" hidden="false" customHeight="false" outlineLevel="0" collapsed="false">
      <c r="A493" s="7"/>
      <c r="B493" s="8"/>
      <c r="C493" s="9"/>
      <c r="D493" s="20"/>
      <c r="E493" s="10"/>
      <c r="F493" s="9"/>
      <c r="G493" s="11" t="str">
        <f aca="false">IF(C493="","",IFERROR(INDEX(Catálogo!$B$5:$B$2000,MATCH(C493,Catálogo!$A$5:$A$2000,0)),""))</f>
        <v/>
      </c>
      <c r="H493" s="11" t="str">
        <f aca="false">IF(C493="","",IFERROR(INDEX(Catálogo!$C$5:$C$2000,MATCH(C493,Catálogo!$A$5:$A$2000,0)),""))</f>
        <v/>
      </c>
      <c r="I493" s="11" t="str">
        <f aca="false">IF(D493="","",IF(D493&gt;UmbralAlarma,"Alarmante",IF(D493&gt;=UmbralRegular,"Regular","Bueno")))</f>
        <v/>
      </c>
      <c r="J493" s="11" t="str">
        <f aca="true">IF(COUNTA(A493:F493)=0,"",IF(OR(A493="",B493="",C493="",D493=""),"Faltan datos",IF(G493="","AP no está en el catálogo",IF(A493&gt;TODAY()+1,"Fecha futura",IF(OR(D493&lt;0,D493&lt;&gt;INT(D493)),"Usuarios no válidos",IF(AND(E493&lt;&gt;"",OR(E493&lt;0,E493&gt;1)),"Utilización fuera de 0-100%",IF(COUNTIFS($A$5:$A$604,A493,$B$5:$B$604,B493,$C$5:$C$604,C493)&gt;1,"Fila duplicada","OK")))))))</f>
        <v/>
      </c>
      <c r="K493" s="9"/>
    </row>
    <row r="494" customFormat="false" ht="15" hidden="false" customHeight="false" outlineLevel="0" collapsed="false">
      <c r="A494" s="7"/>
      <c r="B494" s="8"/>
      <c r="C494" s="9"/>
      <c r="D494" s="20"/>
      <c r="E494" s="10"/>
      <c r="F494" s="9"/>
      <c r="G494" s="11" t="str">
        <f aca="false">IF(C494="","",IFERROR(INDEX(Catálogo!$B$5:$B$2000,MATCH(C494,Catálogo!$A$5:$A$2000,0)),""))</f>
        <v/>
      </c>
      <c r="H494" s="11" t="str">
        <f aca="false">IF(C494="","",IFERROR(INDEX(Catálogo!$C$5:$C$2000,MATCH(C494,Catálogo!$A$5:$A$2000,0)),""))</f>
        <v/>
      </c>
      <c r="I494" s="11" t="str">
        <f aca="false">IF(D494="","",IF(D494&gt;UmbralAlarma,"Alarmante",IF(D494&gt;=UmbralRegular,"Regular","Bueno")))</f>
        <v/>
      </c>
      <c r="J494" s="11" t="str">
        <f aca="true">IF(COUNTA(A494:F494)=0,"",IF(OR(A494="",B494="",C494="",D494=""),"Faltan datos",IF(G494="","AP no está en el catálogo",IF(A494&gt;TODAY()+1,"Fecha futura",IF(OR(D494&lt;0,D494&lt;&gt;INT(D494)),"Usuarios no válidos",IF(AND(E494&lt;&gt;"",OR(E494&lt;0,E494&gt;1)),"Utilización fuera de 0-100%",IF(COUNTIFS($A$5:$A$604,A494,$B$5:$B$604,B494,$C$5:$C$604,C494)&gt;1,"Fila duplicada","OK")))))))</f>
        <v/>
      </c>
      <c r="K494" s="9"/>
    </row>
    <row r="495" customFormat="false" ht="15" hidden="false" customHeight="false" outlineLevel="0" collapsed="false">
      <c r="A495" s="7"/>
      <c r="B495" s="8"/>
      <c r="C495" s="9"/>
      <c r="D495" s="20"/>
      <c r="E495" s="10"/>
      <c r="F495" s="9"/>
      <c r="G495" s="11" t="str">
        <f aca="false">IF(C495="","",IFERROR(INDEX(Catálogo!$B$5:$B$2000,MATCH(C495,Catálogo!$A$5:$A$2000,0)),""))</f>
        <v/>
      </c>
      <c r="H495" s="11" t="str">
        <f aca="false">IF(C495="","",IFERROR(INDEX(Catálogo!$C$5:$C$2000,MATCH(C495,Catálogo!$A$5:$A$2000,0)),""))</f>
        <v/>
      </c>
      <c r="I495" s="11" t="str">
        <f aca="false">IF(D495="","",IF(D495&gt;UmbralAlarma,"Alarmante",IF(D495&gt;=UmbralRegular,"Regular","Bueno")))</f>
        <v/>
      </c>
      <c r="J495" s="11" t="str">
        <f aca="true">IF(COUNTA(A495:F495)=0,"",IF(OR(A495="",B495="",C495="",D495=""),"Faltan datos",IF(G495="","AP no está en el catálogo",IF(A495&gt;TODAY()+1,"Fecha futura",IF(OR(D495&lt;0,D495&lt;&gt;INT(D495)),"Usuarios no válidos",IF(AND(E495&lt;&gt;"",OR(E495&lt;0,E495&gt;1)),"Utilización fuera de 0-100%",IF(COUNTIFS($A$5:$A$604,A495,$B$5:$B$604,B495,$C$5:$C$604,C495)&gt;1,"Fila duplicada","OK")))))))</f>
        <v/>
      </c>
      <c r="K495" s="9"/>
    </row>
    <row r="496" customFormat="false" ht="15" hidden="false" customHeight="false" outlineLevel="0" collapsed="false">
      <c r="A496" s="7"/>
      <c r="B496" s="8"/>
      <c r="C496" s="9"/>
      <c r="D496" s="20"/>
      <c r="E496" s="10"/>
      <c r="F496" s="9"/>
      <c r="G496" s="11" t="str">
        <f aca="false">IF(C496="","",IFERROR(INDEX(Catálogo!$B$5:$B$2000,MATCH(C496,Catálogo!$A$5:$A$2000,0)),""))</f>
        <v/>
      </c>
      <c r="H496" s="11" t="str">
        <f aca="false">IF(C496="","",IFERROR(INDEX(Catálogo!$C$5:$C$2000,MATCH(C496,Catálogo!$A$5:$A$2000,0)),""))</f>
        <v/>
      </c>
      <c r="I496" s="11" t="str">
        <f aca="false">IF(D496="","",IF(D496&gt;UmbralAlarma,"Alarmante",IF(D496&gt;=UmbralRegular,"Regular","Bueno")))</f>
        <v/>
      </c>
      <c r="J496" s="11" t="str">
        <f aca="true">IF(COUNTA(A496:F496)=0,"",IF(OR(A496="",B496="",C496="",D496=""),"Faltan datos",IF(G496="","AP no está en el catálogo",IF(A496&gt;TODAY()+1,"Fecha futura",IF(OR(D496&lt;0,D496&lt;&gt;INT(D496)),"Usuarios no válidos",IF(AND(E496&lt;&gt;"",OR(E496&lt;0,E496&gt;1)),"Utilización fuera de 0-100%",IF(COUNTIFS($A$5:$A$604,A496,$B$5:$B$604,B496,$C$5:$C$604,C496)&gt;1,"Fila duplicada","OK")))))))</f>
        <v/>
      </c>
      <c r="K496" s="9"/>
    </row>
    <row r="497" customFormat="false" ht="15" hidden="false" customHeight="false" outlineLevel="0" collapsed="false">
      <c r="A497" s="7"/>
      <c r="B497" s="8"/>
      <c r="C497" s="9"/>
      <c r="D497" s="20"/>
      <c r="E497" s="10"/>
      <c r="F497" s="9"/>
      <c r="G497" s="11" t="str">
        <f aca="false">IF(C497="","",IFERROR(INDEX(Catálogo!$B$5:$B$2000,MATCH(C497,Catálogo!$A$5:$A$2000,0)),""))</f>
        <v/>
      </c>
      <c r="H497" s="11" t="str">
        <f aca="false">IF(C497="","",IFERROR(INDEX(Catálogo!$C$5:$C$2000,MATCH(C497,Catálogo!$A$5:$A$2000,0)),""))</f>
        <v/>
      </c>
      <c r="I497" s="11" t="str">
        <f aca="false">IF(D497="","",IF(D497&gt;UmbralAlarma,"Alarmante",IF(D497&gt;=UmbralRegular,"Regular","Bueno")))</f>
        <v/>
      </c>
      <c r="J497" s="11" t="str">
        <f aca="true">IF(COUNTA(A497:F497)=0,"",IF(OR(A497="",B497="",C497="",D497=""),"Faltan datos",IF(G497="","AP no está en el catálogo",IF(A497&gt;TODAY()+1,"Fecha futura",IF(OR(D497&lt;0,D497&lt;&gt;INT(D497)),"Usuarios no válidos",IF(AND(E497&lt;&gt;"",OR(E497&lt;0,E497&gt;1)),"Utilización fuera de 0-100%",IF(COUNTIFS($A$5:$A$604,A497,$B$5:$B$604,B497,$C$5:$C$604,C497)&gt;1,"Fila duplicada","OK")))))))</f>
        <v/>
      </c>
      <c r="K497" s="9"/>
    </row>
    <row r="498" customFormat="false" ht="15" hidden="false" customHeight="false" outlineLevel="0" collapsed="false">
      <c r="A498" s="7"/>
      <c r="B498" s="8"/>
      <c r="C498" s="9"/>
      <c r="D498" s="20"/>
      <c r="E498" s="10"/>
      <c r="F498" s="9"/>
      <c r="G498" s="11" t="str">
        <f aca="false">IF(C498="","",IFERROR(INDEX(Catálogo!$B$5:$B$2000,MATCH(C498,Catálogo!$A$5:$A$2000,0)),""))</f>
        <v/>
      </c>
      <c r="H498" s="11" t="str">
        <f aca="false">IF(C498="","",IFERROR(INDEX(Catálogo!$C$5:$C$2000,MATCH(C498,Catálogo!$A$5:$A$2000,0)),""))</f>
        <v/>
      </c>
      <c r="I498" s="11" t="str">
        <f aca="false">IF(D498="","",IF(D498&gt;UmbralAlarma,"Alarmante",IF(D498&gt;=UmbralRegular,"Regular","Bueno")))</f>
        <v/>
      </c>
      <c r="J498" s="11" t="str">
        <f aca="true">IF(COUNTA(A498:F498)=0,"",IF(OR(A498="",B498="",C498="",D498=""),"Faltan datos",IF(G498="","AP no está en el catálogo",IF(A498&gt;TODAY()+1,"Fecha futura",IF(OR(D498&lt;0,D498&lt;&gt;INT(D498)),"Usuarios no válidos",IF(AND(E498&lt;&gt;"",OR(E498&lt;0,E498&gt;1)),"Utilización fuera de 0-100%",IF(COUNTIFS($A$5:$A$604,A498,$B$5:$B$604,B498,$C$5:$C$604,C498)&gt;1,"Fila duplicada","OK")))))))</f>
        <v/>
      </c>
      <c r="K498" s="9"/>
    </row>
    <row r="499" customFormat="false" ht="15" hidden="false" customHeight="false" outlineLevel="0" collapsed="false">
      <c r="A499" s="7"/>
      <c r="B499" s="8"/>
      <c r="C499" s="9"/>
      <c r="D499" s="20"/>
      <c r="E499" s="10"/>
      <c r="F499" s="9"/>
      <c r="G499" s="11" t="str">
        <f aca="false">IF(C499="","",IFERROR(INDEX(Catálogo!$B$5:$B$2000,MATCH(C499,Catálogo!$A$5:$A$2000,0)),""))</f>
        <v/>
      </c>
      <c r="H499" s="11" t="str">
        <f aca="false">IF(C499="","",IFERROR(INDEX(Catálogo!$C$5:$C$2000,MATCH(C499,Catálogo!$A$5:$A$2000,0)),""))</f>
        <v/>
      </c>
      <c r="I499" s="11" t="str">
        <f aca="false">IF(D499="","",IF(D499&gt;UmbralAlarma,"Alarmante",IF(D499&gt;=UmbralRegular,"Regular","Bueno")))</f>
        <v/>
      </c>
      <c r="J499" s="11" t="str">
        <f aca="true">IF(COUNTA(A499:F499)=0,"",IF(OR(A499="",B499="",C499="",D499=""),"Faltan datos",IF(G499="","AP no está en el catálogo",IF(A499&gt;TODAY()+1,"Fecha futura",IF(OR(D499&lt;0,D499&lt;&gt;INT(D499)),"Usuarios no válidos",IF(AND(E499&lt;&gt;"",OR(E499&lt;0,E499&gt;1)),"Utilización fuera de 0-100%",IF(COUNTIFS($A$5:$A$604,A499,$B$5:$B$604,B499,$C$5:$C$604,C499)&gt;1,"Fila duplicada","OK")))))))</f>
        <v/>
      </c>
      <c r="K499" s="9"/>
    </row>
    <row r="500" customFormat="false" ht="15" hidden="false" customHeight="false" outlineLevel="0" collapsed="false">
      <c r="A500" s="7"/>
      <c r="B500" s="8"/>
      <c r="C500" s="9"/>
      <c r="D500" s="20"/>
      <c r="E500" s="10"/>
      <c r="F500" s="9"/>
      <c r="G500" s="11" t="str">
        <f aca="false">IF(C500="","",IFERROR(INDEX(Catálogo!$B$5:$B$2000,MATCH(C500,Catálogo!$A$5:$A$2000,0)),""))</f>
        <v/>
      </c>
      <c r="H500" s="11" t="str">
        <f aca="false">IF(C500="","",IFERROR(INDEX(Catálogo!$C$5:$C$2000,MATCH(C500,Catálogo!$A$5:$A$2000,0)),""))</f>
        <v/>
      </c>
      <c r="I500" s="11" t="str">
        <f aca="false">IF(D500="","",IF(D500&gt;UmbralAlarma,"Alarmante",IF(D500&gt;=UmbralRegular,"Regular","Bueno")))</f>
        <v/>
      </c>
      <c r="J500" s="11" t="str">
        <f aca="true">IF(COUNTA(A500:F500)=0,"",IF(OR(A500="",B500="",C500="",D500=""),"Faltan datos",IF(G500="","AP no está en el catálogo",IF(A500&gt;TODAY()+1,"Fecha futura",IF(OR(D500&lt;0,D500&lt;&gt;INT(D500)),"Usuarios no válidos",IF(AND(E500&lt;&gt;"",OR(E500&lt;0,E500&gt;1)),"Utilización fuera de 0-100%",IF(COUNTIFS($A$5:$A$604,A500,$B$5:$B$604,B500,$C$5:$C$604,C500)&gt;1,"Fila duplicada","OK")))))))</f>
        <v/>
      </c>
      <c r="K500" s="9"/>
    </row>
    <row r="501" customFormat="false" ht="15" hidden="false" customHeight="false" outlineLevel="0" collapsed="false">
      <c r="A501" s="7"/>
      <c r="B501" s="8"/>
      <c r="C501" s="9"/>
      <c r="D501" s="20"/>
      <c r="E501" s="10"/>
      <c r="F501" s="9"/>
      <c r="G501" s="11" t="str">
        <f aca="false">IF(C501="","",IFERROR(INDEX(Catálogo!$B$5:$B$2000,MATCH(C501,Catálogo!$A$5:$A$2000,0)),""))</f>
        <v/>
      </c>
      <c r="H501" s="11" t="str">
        <f aca="false">IF(C501="","",IFERROR(INDEX(Catálogo!$C$5:$C$2000,MATCH(C501,Catálogo!$A$5:$A$2000,0)),""))</f>
        <v/>
      </c>
      <c r="I501" s="11" t="str">
        <f aca="false">IF(D501="","",IF(D501&gt;UmbralAlarma,"Alarmante",IF(D501&gt;=UmbralRegular,"Regular","Bueno")))</f>
        <v/>
      </c>
      <c r="J501" s="11" t="str">
        <f aca="true">IF(COUNTA(A501:F501)=0,"",IF(OR(A501="",B501="",C501="",D501=""),"Faltan datos",IF(G501="","AP no está en el catálogo",IF(A501&gt;TODAY()+1,"Fecha futura",IF(OR(D501&lt;0,D501&lt;&gt;INT(D501)),"Usuarios no válidos",IF(AND(E501&lt;&gt;"",OR(E501&lt;0,E501&gt;1)),"Utilización fuera de 0-100%",IF(COUNTIFS($A$5:$A$604,A501,$B$5:$B$604,B501,$C$5:$C$604,C501)&gt;1,"Fila duplicada","OK")))))))</f>
        <v/>
      </c>
      <c r="K501" s="9"/>
    </row>
    <row r="502" customFormat="false" ht="15" hidden="false" customHeight="false" outlineLevel="0" collapsed="false">
      <c r="A502" s="7"/>
      <c r="B502" s="8"/>
      <c r="C502" s="9"/>
      <c r="D502" s="20"/>
      <c r="E502" s="10"/>
      <c r="F502" s="9"/>
      <c r="G502" s="11" t="str">
        <f aca="false">IF(C502="","",IFERROR(INDEX(Catálogo!$B$5:$B$2000,MATCH(C502,Catálogo!$A$5:$A$2000,0)),""))</f>
        <v/>
      </c>
      <c r="H502" s="11" t="str">
        <f aca="false">IF(C502="","",IFERROR(INDEX(Catálogo!$C$5:$C$2000,MATCH(C502,Catálogo!$A$5:$A$2000,0)),""))</f>
        <v/>
      </c>
      <c r="I502" s="11" t="str">
        <f aca="false">IF(D502="","",IF(D502&gt;UmbralAlarma,"Alarmante",IF(D502&gt;=UmbralRegular,"Regular","Bueno")))</f>
        <v/>
      </c>
      <c r="J502" s="11" t="str">
        <f aca="true">IF(COUNTA(A502:F502)=0,"",IF(OR(A502="",B502="",C502="",D502=""),"Faltan datos",IF(G502="","AP no está en el catálogo",IF(A502&gt;TODAY()+1,"Fecha futura",IF(OR(D502&lt;0,D502&lt;&gt;INT(D502)),"Usuarios no válidos",IF(AND(E502&lt;&gt;"",OR(E502&lt;0,E502&gt;1)),"Utilización fuera de 0-100%",IF(COUNTIFS($A$5:$A$604,A502,$B$5:$B$604,B502,$C$5:$C$604,C502)&gt;1,"Fila duplicada","OK")))))))</f>
        <v/>
      </c>
      <c r="K502" s="9"/>
    </row>
    <row r="503" customFormat="false" ht="15" hidden="false" customHeight="false" outlineLevel="0" collapsed="false">
      <c r="A503" s="7"/>
      <c r="B503" s="8"/>
      <c r="C503" s="9"/>
      <c r="D503" s="20"/>
      <c r="E503" s="10"/>
      <c r="F503" s="9"/>
      <c r="G503" s="11" t="str">
        <f aca="false">IF(C503="","",IFERROR(INDEX(Catálogo!$B$5:$B$2000,MATCH(C503,Catálogo!$A$5:$A$2000,0)),""))</f>
        <v/>
      </c>
      <c r="H503" s="11" t="str">
        <f aca="false">IF(C503="","",IFERROR(INDEX(Catálogo!$C$5:$C$2000,MATCH(C503,Catálogo!$A$5:$A$2000,0)),""))</f>
        <v/>
      </c>
      <c r="I503" s="11" t="str">
        <f aca="false">IF(D503="","",IF(D503&gt;UmbralAlarma,"Alarmante",IF(D503&gt;=UmbralRegular,"Regular","Bueno")))</f>
        <v/>
      </c>
      <c r="J503" s="11" t="str">
        <f aca="true">IF(COUNTA(A503:F503)=0,"",IF(OR(A503="",B503="",C503="",D503=""),"Faltan datos",IF(G503="","AP no está en el catálogo",IF(A503&gt;TODAY()+1,"Fecha futura",IF(OR(D503&lt;0,D503&lt;&gt;INT(D503)),"Usuarios no válidos",IF(AND(E503&lt;&gt;"",OR(E503&lt;0,E503&gt;1)),"Utilización fuera de 0-100%",IF(COUNTIFS($A$5:$A$604,A503,$B$5:$B$604,B503,$C$5:$C$604,C503)&gt;1,"Fila duplicada","OK")))))))</f>
        <v/>
      </c>
      <c r="K503" s="9"/>
    </row>
    <row r="504" customFormat="false" ht="15" hidden="false" customHeight="false" outlineLevel="0" collapsed="false">
      <c r="A504" s="7"/>
      <c r="B504" s="8"/>
      <c r="C504" s="9"/>
      <c r="D504" s="20"/>
      <c r="E504" s="10"/>
      <c r="F504" s="9"/>
      <c r="G504" s="11" t="str">
        <f aca="false">IF(C504="","",IFERROR(INDEX(Catálogo!$B$5:$B$2000,MATCH(C504,Catálogo!$A$5:$A$2000,0)),""))</f>
        <v/>
      </c>
      <c r="H504" s="11" t="str">
        <f aca="false">IF(C504="","",IFERROR(INDEX(Catálogo!$C$5:$C$2000,MATCH(C504,Catálogo!$A$5:$A$2000,0)),""))</f>
        <v/>
      </c>
      <c r="I504" s="11" t="str">
        <f aca="false">IF(D504="","",IF(D504&gt;UmbralAlarma,"Alarmante",IF(D504&gt;=UmbralRegular,"Regular","Bueno")))</f>
        <v/>
      </c>
      <c r="J504" s="11" t="str">
        <f aca="true">IF(COUNTA(A504:F504)=0,"",IF(OR(A504="",B504="",C504="",D504=""),"Faltan datos",IF(G504="","AP no está en el catálogo",IF(A504&gt;TODAY()+1,"Fecha futura",IF(OR(D504&lt;0,D504&lt;&gt;INT(D504)),"Usuarios no válidos",IF(AND(E504&lt;&gt;"",OR(E504&lt;0,E504&gt;1)),"Utilización fuera de 0-100%",IF(COUNTIFS($A$5:$A$604,A504,$B$5:$B$604,B504,$C$5:$C$604,C504)&gt;1,"Fila duplicada","OK")))))))</f>
        <v/>
      </c>
      <c r="K504" s="9"/>
    </row>
    <row r="505" customFormat="false" ht="15" hidden="false" customHeight="false" outlineLevel="0" collapsed="false">
      <c r="A505" s="7"/>
      <c r="B505" s="8"/>
      <c r="C505" s="9"/>
      <c r="D505" s="20"/>
      <c r="E505" s="10"/>
      <c r="F505" s="9"/>
      <c r="G505" s="11" t="str">
        <f aca="false">IF(C505="","",IFERROR(INDEX(Catálogo!$B$5:$B$2000,MATCH(C505,Catálogo!$A$5:$A$2000,0)),""))</f>
        <v/>
      </c>
      <c r="H505" s="11" t="str">
        <f aca="false">IF(C505="","",IFERROR(INDEX(Catálogo!$C$5:$C$2000,MATCH(C505,Catálogo!$A$5:$A$2000,0)),""))</f>
        <v/>
      </c>
      <c r="I505" s="11" t="str">
        <f aca="false">IF(D505="","",IF(D505&gt;UmbralAlarma,"Alarmante",IF(D505&gt;=UmbralRegular,"Regular","Bueno")))</f>
        <v/>
      </c>
      <c r="J505" s="11" t="str">
        <f aca="true">IF(COUNTA(A505:F505)=0,"",IF(OR(A505="",B505="",C505="",D505=""),"Faltan datos",IF(G505="","AP no está en el catálogo",IF(A505&gt;TODAY()+1,"Fecha futura",IF(OR(D505&lt;0,D505&lt;&gt;INT(D505)),"Usuarios no válidos",IF(AND(E505&lt;&gt;"",OR(E505&lt;0,E505&gt;1)),"Utilización fuera de 0-100%",IF(COUNTIFS($A$5:$A$604,A505,$B$5:$B$604,B505,$C$5:$C$604,C505)&gt;1,"Fila duplicada","OK")))))))</f>
        <v/>
      </c>
      <c r="K505" s="9"/>
    </row>
    <row r="506" customFormat="false" ht="15" hidden="false" customHeight="false" outlineLevel="0" collapsed="false">
      <c r="A506" s="7"/>
      <c r="B506" s="8"/>
      <c r="C506" s="9"/>
      <c r="D506" s="20"/>
      <c r="E506" s="10"/>
      <c r="F506" s="9"/>
      <c r="G506" s="11" t="str">
        <f aca="false">IF(C506="","",IFERROR(INDEX(Catálogo!$B$5:$B$2000,MATCH(C506,Catálogo!$A$5:$A$2000,0)),""))</f>
        <v/>
      </c>
      <c r="H506" s="11" t="str">
        <f aca="false">IF(C506="","",IFERROR(INDEX(Catálogo!$C$5:$C$2000,MATCH(C506,Catálogo!$A$5:$A$2000,0)),""))</f>
        <v/>
      </c>
      <c r="I506" s="11" t="str">
        <f aca="false">IF(D506="","",IF(D506&gt;UmbralAlarma,"Alarmante",IF(D506&gt;=UmbralRegular,"Regular","Bueno")))</f>
        <v/>
      </c>
      <c r="J506" s="11" t="str">
        <f aca="true">IF(COUNTA(A506:F506)=0,"",IF(OR(A506="",B506="",C506="",D506=""),"Faltan datos",IF(G506="","AP no está en el catálogo",IF(A506&gt;TODAY()+1,"Fecha futura",IF(OR(D506&lt;0,D506&lt;&gt;INT(D506)),"Usuarios no válidos",IF(AND(E506&lt;&gt;"",OR(E506&lt;0,E506&gt;1)),"Utilización fuera de 0-100%",IF(COUNTIFS($A$5:$A$604,A506,$B$5:$B$604,B506,$C$5:$C$604,C506)&gt;1,"Fila duplicada","OK")))))))</f>
        <v/>
      </c>
      <c r="K506" s="9"/>
    </row>
    <row r="507" customFormat="false" ht="15" hidden="false" customHeight="false" outlineLevel="0" collapsed="false">
      <c r="A507" s="7"/>
      <c r="B507" s="8"/>
      <c r="C507" s="9"/>
      <c r="D507" s="20"/>
      <c r="E507" s="10"/>
      <c r="F507" s="9"/>
      <c r="G507" s="11" t="str">
        <f aca="false">IF(C507="","",IFERROR(INDEX(Catálogo!$B$5:$B$2000,MATCH(C507,Catálogo!$A$5:$A$2000,0)),""))</f>
        <v/>
      </c>
      <c r="H507" s="11" t="str">
        <f aca="false">IF(C507="","",IFERROR(INDEX(Catálogo!$C$5:$C$2000,MATCH(C507,Catálogo!$A$5:$A$2000,0)),""))</f>
        <v/>
      </c>
      <c r="I507" s="11" t="str">
        <f aca="false">IF(D507="","",IF(D507&gt;UmbralAlarma,"Alarmante",IF(D507&gt;=UmbralRegular,"Regular","Bueno")))</f>
        <v/>
      </c>
      <c r="J507" s="11" t="str">
        <f aca="true">IF(COUNTA(A507:F507)=0,"",IF(OR(A507="",B507="",C507="",D507=""),"Faltan datos",IF(G507="","AP no está en el catálogo",IF(A507&gt;TODAY()+1,"Fecha futura",IF(OR(D507&lt;0,D507&lt;&gt;INT(D507)),"Usuarios no válidos",IF(AND(E507&lt;&gt;"",OR(E507&lt;0,E507&gt;1)),"Utilización fuera de 0-100%",IF(COUNTIFS($A$5:$A$604,A507,$B$5:$B$604,B507,$C$5:$C$604,C507)&gt;1,"Fila duplicada","OK")))))))</f>
        <v/>
      </c>
      <c r="K507" s="9"/>
    </row>
    <row r="508" customFormat="false" ht="15" hidden="false" customHeight="false" outlineLevel="0" collapsed="false">
      <c r="A508" s="7"/>
      <c r="B508" s="8"/>
      <c r="C508" s="9"/>
      <c r="D508" s="20"/>
      <c r="E508" s="10"/>
      <c r="F508" s="9"/>
      <c r="G508" s="11" t="str">
        <f aca="false">IF(C508="","",IFERROR(INDEX(Catálogo!$B$5:$B$2000,MATCH(C508,Catálogo!$A$5:$A$2000,0)),""))</f>
        <v/>
      </c>
      <c r="H508" s="11" t="str">
        <f aca="false">IF(C508="","",IFERROR(INDEX(Catálogo!$C$5:$C$2000,MATCH(C508,Catálogo!$A$5:$A$2000,0)),""))</f>
        <v/>
      </c>
      <c r="I508" s="11" t="str">
        <f aca="false">IF(D508="","",IF(D508&gt;UmbralAlarma,"Alarmante",IF(D508&gt;=UmbralRegular,"Regular","Bueno")))</f>
        <v/>
      </c>
      <c r="J508" s="11" t="str">
        <f aca="true">IF(COUNTA(A508:F508)=0,"",IF(OR(A508="",B508="",C508="",D508=""),"Faltan datos",IF(G508="","AP no está en el catálogo",IF(A508&gt;TODAY()+1,"Fecha futura",IF(OR(D508&lt;0,D508&lt;&gt;INT(D508)),"Usuarios no válidos",IF(AND(E508&lt;&gt;"",OR(E508&lt;0,E508&gt;1)),"Utilización fuera de 0-100%",IF(COUNTIFS($A$5:$A$604,A508,$B$5:$B$604,B508,$C$5:$C$604,C508)&gt;1,"Fila duplicada","OK")))))))</f>
        <v/>
      </c>
      <c r="K508" s="9"/>
    </row>
    <row r="509" customFormat="false" ht="15" hidden="false" customHeight="false" outlineLevel="0" collapsed="false">
      <c r="A509" s="7"/>
      <c r="B509" s="8"/>
      <c r="C509" s="9"/>
      <c r="D509" s="20"/>
      <c r="E509" s="10"/>
      <c r="F509" s="9"/>
      <c r="G509" s="11" t="str">
        <f aca="false">IF(C509="","",IFERROR(INDEX(Catálogo!$B$5:$B$2000,MATCH(C509,Catálogo!$A$5:$A$2000,0)),""))</f>
        <v/>
      </c>
      <c r="H509" s="11" t="str">
        <f aca="false">IF(C509="","",IFERROR(INDEX(Catálogo!$C$5:$C$2000,MATCH(C509,Catálogo!$A$5:$A$2000,0)),""))</f>
        <v/>
      </c>
      <c r="I509" s="11" t="str">
        <f aca="false">IF(D509="","",IF(D509&gt;UmbralAlarma,"Alarmante",IF(D509&gt;=UmbralRegular,"Regular","Bueno")))</f>
        <v/>
      </c>
      <c r="J509" s="11" t="str">
        <f aca="true">IF(COUNTA(A509:F509)=0,"",IF(OR(A509="",B509="",C509="",D509=""),"Faltan datos",IF(G509="","AP no está en el catálogo",IF(A509&gt;TODAY()+1,"Fecha futura",IF(OR(D509&lt;0,D509&lt;&gt;INT(D509)),"Usuarios no válidos",IF(AND(E509&lt;&gt;"",OR(E509&lt;0,E509&gt;1)),"Utilización fuera de 0-100%",IF(COUNTIFS($A$5:$A$604,A509,$B$5:$B$604,B509,$C$5:$C$604,C509)&gt;1,"Fila duplicada","OK")))))))</f>
        <v/>
      </c>
      <c r="K509" s="9"/>
    </row>
    <row r="510" customFormat="false" ht="15" hidden="false" customHeight="false" outlineLevel="0" collapsed="false">
      <c r="A510" s="7"/>
      <c r="B510" s="8"/>
      <c r="C510" s="9"/>
      <c r="D510" s="20"/>
      <c r="E510" s="10"/>
      <c r="F510" s="9"/>
      <c r="G510" s="11" t="str">
        <f aca="false">IF(C510="","",IFERROR(INDEX(Catálogo!$B$5:$B$2000,MATCH(C510,Catálogo!$A$5:$A$2000,0)),""))</f>
        <v/>
      </c>
      <c r="H510" s="11" t="str">
        <f aca="false">IF(C510="","",IFERROR(INDEX(Catálogo!$C$5:$C$2000,MATCH(C510,Catálogo!$A$5:$A$2000,0)),""))</f>
        <v/>
      </c>
      <c r="I510" s="11" t="str">
        <f aca="false">IF(D510="","",IF(D510&gt;UmbralAlarma,"Alarmante",IF(D510&gt;=UmbralRegular,"Regular","Bueno")))</f>
        <v/>
      </c>
      <c r="J510" s="11" t="str">
        <f aca="true">IF(COUNTA(A510:F510)=0,"",IF(OR(A510="",B510="",C510="",D510=""),"Faltan datos",IF(G510="","AP no está en el catálogo",IF(A510&gt;TODAY()+1,"Fecha futura",IF(OR(D510&lt;0,D510&lt;&gt;INT(D510)),"Usuarios no válidos",IF(AND(E510&lt;&gt;"",OR(E510&lt;0,E510&gt;1)),"Utilización fuera de 0-100%",IF(COUNTIFS($A$5:$A$604,A510,$B$5:$B$604,B510,$C$5:$C$604,C510)&gt;1,"Fila duplicada","OK")))))))</f>
        <v/>
      </c>
      <c r="K510" s="9"/>
    </row>
    <row r="511" customFormat="false" ht="15" hidden="false" customHeight="false" outlineLevel="0" collapsed="false">
      <c r="A511" s="7"/>
      <c r="B511" s="8"/>
      <c r="C511" s="9"/>
      <c r="D511" s="20"/>
      <c r="E511" s="10"/>
      <c r="F511" s="9"/>
      <c r="G511" s="11" t="str">
        <f aca="false">IF(C511="","",IFERROR(INDEX(Catálogo!$B$5:$B$2000,MATCH(C511,Catálogo!$A$5:$A$2000,0)),""))</f>
        <v/>
      </c>
      <c r="H511" s="11" t="str">
        <f aca="false">IF(C511="","",IFERROR(INDEX(Catálogo!$C$5:$C$2000,MATCH(C511,Catálogo!$A$5:$A$2000,0)),""))</f>
        <v/>
      </c>
      <c r="I511" s="11" t="str">
        <f aca="false">IF(D511="","",IF(D511&gt;UmbralAlarma,"Alarmante",IF(D511&gt;=UmbralRegular,"Regular","Bueno")))</f>
        <v/>
      </c>
      <c r="J511" s="11" t="str">
        <f aca="true">IF(COUNTA(A511:F511)=0,"",IF(OR(A511="",B511="",C511="",D511=""),"Faltan datos",IF(G511="","AP no está en el catálogo",IF(A511&gt;TODAY()+1,"Fecha futura",IF(OR(D511&lt;0,D511&lt;&gt;INT(D511)),"Usuarios no válidos",IF(AND(E511&lt;&gt;"",OR(E511&lt;0,E511&gt;1)),"Utilización fuera de 0-100%",IF(COUNTIFS($A$5:$A$604,A511,$B$5:$B$604,B511,$C$5:$C$604,C511)&gt;1,"Fila duplicada","OK")))))))</f>
        <v/>
      </c>
      <c r="K511" s="9"/>
    </row>
    <row r="512" customFormat="false" ht="15" hidden="false" customHeight="false" outlineLevel="0" collapsed="false">
      <c r="A512" s="7"/>
      <c r="B512" s="8"/>
      <c r="C512" s="9"/>
      <c r="D512" s="20"/>
      <c r="E512" s="10"/>
      <c r="F512" s="9"/>
      <c r="G512" s="11" t="str">
        <f aca="false">IF(C512="","",IFERROR(INDEX(Catálogo!$B$5:$B$2000,MATCH(C512,Catálogo!$A$5:$A$2000,0)),""))</f>
        <v/>
      </c>
      <c r="H512" s="11" t="str">
        <f aca="false">IF(C512="","",IFERROR(INDEX(Catálogo!$C$5:$C$2000,MATCH(C512,Catálogo!$A$5:$A$2000,0)),""))</f>
        <v/>
      </c>
      <c r="I512" s="11" t="str">
        <f aca="false">IF(D512="","",IF(D512&gt;UmbralAlarma,"Alarmante",IF(D512&gt;=UmbralRegular,"Regular","Bueno")))</f>
        <v/>
      </c>
      <c r="J512" s="11" t="str">
        <f aca="true">IF(COUNTA(A512:F512)=0,"",IF(OR(A512="",B512="",C512="",D512=""),"Faltan datos",IF(G512="","AP no está en el catálogo",IF(A512&gt;TODAY()+1,"Fecha futura",IF(OR(D512&lt;0,D512&lt;&gt;INT(D512)),"Usuarios no válidos",IF(AND(E512&lt;&gt;"",OR(E512&lt;0,E512&gt;1)),"Utilización fuera de 0-100%",IF(COUNTIFS($A$5:$A$604,A512,$B$5:$B$604,B512,$C$5:$C$604,C512)&gt;1,"Fila duplicada","OK")))))))</f>
        <v/>
      </c>
      <c r="K512" s="9"/>
    </row>
    <row r="513" customFormat="false" ht="15" hidden="false" customHeight="false" outlineLevel="0" collapsed="false">
      <c r="A513" s="7"/>
      <c r="B513" s="8"/>
      <c r="C513" s="9"/>
      <c r="D513" s="20"/>
      <c r="E513" s="10"/>
      <c r="F513" s="9"/>
      <c r="G513" s="11" t="str">
        <f aca="false">IF(C513="","",IFERROR(INDEX(Catálogo!$B$5:$B$2000,MATCH(C513,Catálogo!$A$5:$A$2000,0)),""))</f>
        <v/>
      </c>
      <c r="H513" s="11" t="str">
        <f aca="false">IF(C513="","",IFERROR(INDEX(Catálogo!$C$5:$C$2000,MATCH(C513,Catálogo!$A$5:$A$2000,0)),""))</f>
        <v/>
      </c>
      <c r="I513" s="11" t="str">
        <f aca="false">IF(D513="","",IF(D513&gt;UmbralAlarma,"Alarmante",IF(D513&gt;=UmbralRegular,"Regular","Bueno")))</f>
        <v/>
      </c>
      <c r="J513" s="11" t="str">
        <f aca="true">IF(COUNTA(A513:F513)=0,"",IF(OR(A513="",B513="",C513="",D513=""),"Faltan datos",IF(G513="","AP no está en el catálogo",IF(A513&gt;TODAY()+1,"Fecha futura",IF(OR(D513&lt;0,D513&lt;&gt;INT(D513)),"Usuarios no válidos",IF(AND(E513&lt;&gt;"",OR(E513&lt;0,E513&gt;1)),"Utilización fuera de 0-100%",IF(COUNTIFS($A$5:$A$604,A513,$B$5:$B$604,B513,$C$5:$C$604,C513)&gt;1,"Fila duplicada","OK")))))))</f>
        <v/>
      </c>
      <c r="K513" s="9"/>
    </row>
    <row r="514" customFormat="false" ht="15" hidden="false" customHeight="false" outlineLevel="0" collapsed="false">
      <c r="A514" s="7"/>
      <c r="B514" s="8"/>
      <c r="C514" s="9"/>
      <c r="D514" s="20"/>
      <c r="E514" s="10"/>
      <c r="F514" s="9"/>
      <c r="G514" s="11" t="str">
        <f aca="false">IF(C514="","",IFERROR(INDEX(Catálogo!$B$5:$B$2000,MATCH(C514,Catálogo!$A$5:$A$2000,0)),""))</f>
        <v/>
      </c>
      <c r="H514" s="11" t="str">
        <f aca="false">IF(C514="","",IFERROR(INDEX(Catálogo!$C$5:$C$2000,MATCH(C514,Catálogo!$A$5:$A$2000,0)),""))</f>
        <v/>
      </c>
      <c r="I514" s="11" t="str">
        <f aca="false">IF(D514="","",IF(D514&gt;UmbralAlarma,"Alarmante",IF(D514&gt;=UmbralRegular,"Regular","Bueno")))</f>
        <v/>
      </c>
      <c r="J514" s="11" t="str">
        <f aca="true">IF(COUNTA(A514:F514)=0,"",IF(OR(A514="",B514="",C514="",D514=""),"Faltan datos",IF(G514="","AP no está en el catálogo",IF(A514&gt;TODAY()+1,"Fecha futura",IF(OR(D514&lt;0,D514&lt;&gt;INT(D514)),"Usuarios no válidos",IF(AND(E514&lt;&gt;"",OR(E514&lt;0,E514&gt;1)),"Utilización fuera de 0-100%",IF(COUNTIFS($A$5:$A$604,A514,$B$5:$B$604,B514,$C$5:$C$604,C514)&gt;1,"Fila duplicada","OK")))))))</f>
        <v/>
      </c>
      <c r="K514" s="9"/>
    </row>
    <row r="515" customFormat="false" ht="15" hidden="false" customHeight="false" outlineLevel="0" collapsed="false">
      <c r="A515" s="7"/>
      <c r="B515" s="8"/>
      <c r="C515" s="9"/>
      <c r="D515" s="20"/>
      <c r="E515" s="10"/>
      <c r="F515" s="9"/>
      <c r="G515" s="11" t="str">
        <f aca="false">IF(C515="","",IFERROR(INDEX(Catálogo!$B$5:$B$2000,MATCH(C515,Catálogo!$A$5:$A$2000,0)),""))</f>
        <v/>
      </c>
      <c r="H515" s="11" t="str">
        <f aca="false">IF(C515="","",IFERROR(INDEX(Catálogo!$C$5:$C$2000,MATCH(C515,Catálogo!$A$5:$A$2000,0)),""))</f>
        <v/>
      </c>
      <c r="I515" s="11" t="str">
        <f aca="false">IF(D515="","",IF(D515&gt;UmbralAlarma,"Alarmante",IF(D515&gt;=UmbralRegular,"Regular","Bueno")))</f>
        <v/>
      </c>
      <c r="J515" s="11" t="str">
        <f aca="true">IF(COUNTA(A515:F515)=0,"",IF(OR(A515="",B515="",C515="",D515=""),"Faltan datos",IF(G515="","AP no está en el catálogo",IF(A515&gt;TODAY()+1,"Fecha futura",IF(OR(D515&lt;0,D515&lt;&gt;INT(D515)),"Usuarios no válidos",IF(AND(E515&lt;&gt;"",OR(E515&lt;0,E515&gt;1)),"Utilización fuera de 0-100%",IF(COUNTIFS($A$5:$A$604,A515,$B$5:$B$604,B515,$C$5:$C$604,C515)&gt;1,"Fila duplicada","OK")))))))</f>
        <v/>
      </c>
      <c r="K515" s="9"/>
    </row>
    <row r="516" customFormat="false" ht="15" hidden="false" customHeight="false" outlineLevel="0" collapsed="false">
      <c r="A516" s="7"/>
      <c r="B516" s="8"/>
      <c r="C516" s="9"/>
      <c r="D516" s="20"/>
      <c r="E516" s="10"/>
      <c r="F516" s="9"/>
      <c r="G516" s="11" t="str">
        <f aca="false">IF(C516="","",IFERROR(INDEX(Catálogo!$B$5:$B$2000,MATCH(C516,Catálogo!$A$5:$A$2000,0)),""))</f>
        <v/>
      </c>
      <c r="H516" s="11" t="str">
        <f aca="false">IF(C516="","",IFERROR(INDEX(Catálogo!$C$5:$C$2000,MATCH(C516,Catálogo!$A$5:$A$2000,0)),""))</f>
        <v/>
      </c>
      <c r="I516" s="11" t="str">
        <f aca="false">IF(D516="","",IF(D516&gt;UmbralAlarma,"Alarmante",IF(D516&gt;=UmbralRegular,"Regular","Bueno")))</f>
        <v/>
      </c>
      <c r="J516" s="11" t="str">
        <f aca="true">IF(COUNTA(A516:F516)=0,"",IF(OR(A516="",B516="",C516="",D516=""),"Faltan datos",IF(G516="","AP no está en el catálogo",IF(A516&gt;TODAY()+1,"Fecha futura",IF(OR(D516&lt;0,D516&lt;&gt;INT(D516)),"Usuarios no válidos",IF(AND(E516&lt;&gt;"",OR(E516&lt;0,E516&gt;1)),"Utilización fuera de 0-100%",IF(COUNTIFS($A$5:$A$604,A516,$B$5:$B$604,B516,$C$5:$C$604,C516)&gt;1,"Fila duplicada","OK")))))))</f>
        <v/>
      </c>
      <c r="K516" s="9"/>
    </row>
    <row r="517" customFormat="false" ht="15" hidden="false" customHeight="false" outlineLevel="0" collapsed="false">
      <c r="A517" s="7"/>
      <c r="B517" s="8"/>
      <c r="C517" s="9"/>
      <c r="D517" s="20"/>
      <c r="E517" s="10"/>
      <c r="F517" s="9"/>
      <c r="G517" s="11" t="str">
        <f aca="false">IF(C517="","",IFERROR(INDEX(Catálogo!$B$5:$B$2000,MATCH(C517,Catálogo!$A$5:$A$2000,0)),""))</f>
        <v/>
      </c>
      <c r="H517" s="11" t="str">
        <f aca="false">IF(C517="","",IFERROR(INDEX(Catálogo!$C$5:$C$2000,MATCH(C517,Catálogo!$A$5:$A$2000,0)),""))</f>
        <v/>
      </c>
      <c r="I517" s="11" t="str">
        <f aca="false">IF(D517="","",IF(D517&gt;UmbralAlarma,"Alarmante",IF(D517&gt;=UmbralRegular,"Regular","Bueno")))</f>
        <v/>
      </c>
      <c r="J517" s="11" t="str">
        <f aca="true">IF(COUNTA(A517:F517)=0,"",IF(OR(A517="",B517="",C517="",D517=""),"Faltan datos",IF(G517="","AP no está en el catálogo",IF(A517&gt;TODAY()+1,"Fecha futura",IF(OR(D517&lt;0,D517&lt;&gt;INT(D517)),"Usuarios no válidos",IF(AND(E517&lt;&gt;"",OR(E517&lt;0,E517&gt;1)),"Utilización fuera de 0-100%",IF(COUNTIFS($A$5:$A$604,A517,$B$5:$B$604,B517,$C$5:$C$604,C517)&gt;1,"Fila duplicada","OK")))))))</f>
        <v/>
      </c>
      <c r="K517" s="9"/>
    </row>
    <row r="518" customFormat="false" ht="15" hidden="false" customHeight="false" outlineLevel="0" collapsed="false">
      <c r="A518" s="7"/>
      <c r="B518" s="8"/>
      <c r="C518" s="9"/>
      <c r="D518" s="20"/>
      <c r="E518" s="10"/>
      <c r="F518" s="9"/>
      <c r="G518" s="11" t="str">
        <f aca="false">IF(C518="","",IFERROR(INDEX(Catálogo!$B$5:$B$2000,MATCH(C518,Catálogo!$A$5:$A$2000,0)),""))</f>
        <v/>
      </c>
      <c r="H518" s="11" t="str">
        <f aca="false">IF(C518="","",IFERROR(INDEX(Catálogo!$C$5:$C$2000,MATCH(C518,Catálogo!$A$5:$A$2000,0)),""))</f>
        <v/>
      </c>
      <c r="I518" s="11" t="str">
        <f aca="false">IF(D518="","",IF(D518&gt;UmbralAlarma,"Alarmante",IF(D518&gt;=UmbralRegular,"Regular","Bueno")))</f>
        <v/>
      </c>
      <c r="J518" s="11" t="str">
        <f aca="true">IF(COUNTA(A518:F518)=0,"",IF(OR(A518="",B518="",C518="",D518=""),"Faltan datos",IF(G518="","AP no está en el catálogo",IF(A518&gt;TODAY()+1,"Fecha futura",IF(OR(D518&lt;0,D518&lt;&gt;INT(D518)),"Usuarios no válidos",IF(AND(E518&lt;&gt;"",OR(E518&lt;0,E518&gt;1)),"Utilización fuera de 0-100%",IF(COUNTIFS($A$5:$A$604,A518,$B$5:$B$604,B518,$C$5:$C$604,C518)&gt;1,"Fila duplicada","OK")))))))</f>
        <v/>
      </c>
      <c r="K518" s="9"/>
    </row>
    <row r="519" customFormat="false" ht="15" hidden="false" customHeight="false" outlineLevel="0" collapsed="false">
      <c r="A519" s="7"/>
      <c r="B519" s="8"/>
      <c r="C519" s="9"/>
      <c r="D519" s="20"/>
      <c r="E519" s="10"/>
      <c r="F519" s="9"/>
      <c r="G519" s="11" t="str">
        <f aca="false">IF(C519="","",IFERROR(INDEX(Catálogo!$B$5:$B$2000,MATCH(C519,Catálogo!$A$5:$A$2000,0)),""))</f>
        <v/>
      </c>
      <c r="H519" s="11" t="str">
        <f aca="false">IF(C519="","",IFERROR(INDEX(Catálogo!$C$5:$C$2000,MATCH(C519,Catálogo!$A$5:$A$2000,0)),""))</f>
        <v/>
      </c>
      <c r="I519" s="11" t="str">
        <f aca="false">IF(D519="","",IF(D519&gt;UmbralAlarma,"Alarmante",IF(D519&gt;=UmbralRegular,"Regular","Bueno")))</f>
        <v/>
      </c>
      <c r="J519" s="11" t="str">
        <f aca="true">IF(COUNTA(A519:F519)=0,"",IF(OR(A519="",B519="",C519="",D519=""),"Faltan datos",IF(G519="","AP no está en el catálogo",IF(A519&gt;TODAY()+1,"Fecha futura",IF(OR(D519&lt;0,D519&lt;&gt;INT(D519)),"Usuarios no válidos",IF(AND(E519&lt;&gt;"",OR(E519&lt;0,E519&gt;1)),"Utilización fuera de 0-100%",IF(COUNTIFS($A$5:$A$604,A519,$B$5:$B$604,B519,$C$5:$C$604,C519)&gt;1,"Fila duplicada","OK")))))))</f>
        <v/>
      </c>
      <c r="K519" s="9"/>
    </row>
    <row r="520" customFormat="false" ht="15" hidden="false" customHeight="false" outlineLevel="0" collapsed="false">
      <c r="A520" s="7"/>
      <c r="B520" s="8"/>
      <c r="C520" s="9"/>
      <c r="D520" s="20"/>
      <c r="E520" s="10"/>
      <c r="F520" s="9"/>
      <c r="G520" s="11" t="str">
        <f aca="false">IF(C520="","",IFERROR(INDEX(Catálogo!$B$5:$B$2000,MATCH(C520,Catálogo!$A$5:$A$2000,0)),""))</f>
        <v/>
      </c>
      <c r="H520" s="11" t="str">
        <f aca="false">IF(C520="","",IFERROR(INDEX(Catálogo!$C$5:$C$2000,MATCH(C520,Catálogo!$A$5:$A$2000,0)),""))</f>
        <v/>
      </c>
      <c r="I520" s="11" t="str">
        <f aca="false">IF(D520="","",IF(D520&gt;UmbralAlarma,"Alarmante",IF(D520&gt;=UmbralRegular,"Regular","Bueno")))</f>
        <v/>
      </c>
      <c r="J520" s="11" t="str">
        <f aca="true">IF(COUNTA(A520:F520)=0,"",IF(OR(A520="",B520="",C520="",D520=""),"Faltan datos",IF(G520="","AP no está en el catálogo",IF(A520&gt;TODAY()+1,"Fecha futura",IF(OR(D520&lt;0,D520&lt;&gt;INT(D520)),"Usuarios no válidos",IF(AND(E520&lt;&gt;"",OR(E520&lt;0,E520&gt;1)),"Utilización fuera de 0-100%",IF(COUNTIFS($A$5:$A$604,A520,$B$5:$B$604,B520,$C$5:$C$604,C520)&gt;1,"Fila duplicada","OK")))))))</f>
        <v/>
      </c>
      <c r="K520" s="9"/>
    </row>
    <row r="521" customFormat="false" ht="15" hidden="false" customHeight="false" outlineLevel="0" collapsed="false">
      <c r="A521" s="7"/>
      <c r="B521" s="8"/>
      <c r="C521" s="9"/>
      <c r="D521" s="20"/>
      <c r="E521" s="10"/>
      <c r="F521" s="9"/>
      <c r="G521" s="11" t="str">
        <f aca="false">IF(C521="","",IFERROR(INDEX(Catálogo!$B$5:$B$2000,MATCH(C521,Catálogo!$A$5:$A$2000,0)),""))</f>
        <v/>
      </c>
      <c r="H521" s="11" t="str">
        <f aca="false">IF(C521="","",IFERROR(INDEX(Catálogo!$C$5:$C$2000,MATCH(C521,Catálogo!$A$5:$A$2000,0)),""))</f>
        <v/>
      </c>
      <c r="I521" s="11" t="str">
        <f aca="false">IF(D521="","",IF(D521&gt;UmbralAlarma,"Alarmante",IF(D521&gt;=UmbralRegular,"Regular","Bueno")))</f>
        <v/>
      </c>
      <c r="J521" s="11" t="str">
        <f aca="true">IF(COUNTA(A521:F521)=0,"",IF(OR(A521="",B521="",C521="",D521=""),"Faltan datos",IF(G521="","AP no está en el catálogo",IF(A521&gt;TODAY()+1,"Fecha futura",IF(OR(D521&lt;0,D521&lt;&gt;INT(D521)),"Usuarios no válidos",IF(AND(E521&lt;&gt;"",OR(E521&lt;0,E521&gt;1)),"Utilización fuera de 0-100%",IF(COUNTIFS($A$5:$A$604,A521,$B$5:$B$604,B521,$C$5:$C$604,C521)&gt;1,"Fila duplicada","OK")))))))</f>
        <v/>
      </c>
      <c r="K521" s="9"/>
    </row>
    <row r="522" customFormat="false" ht="15" hidden="false" customHeight="false" outlineLevel="0" collapsed="false">
      <c r="A522" s="7"/>
      <c r="B522" s="8"/>
      <c r="C522" s="9"/>
      <c r="D522" s="20"/>
      <c r="E522" s="10"/>
      <c r="F522" s="9"/>
      <c r="G522" s="11" t="str">
        <f aca="false">IF(C522="","",IFERROR(INDEX(Catálogo!$B$5:$B$2000,MATCH(C522,Catálogo!$A$5:$A$2000,0)),""))</f>
        <v/>
      </c>
      <c r="H522" s="11" t="str">
        <f aca="false">IF(C522="","",IFERROR(INDEX(Catálogo!$C$5:$C$2000,MATCH(C522,Catálogo!$A$5:$A$2000,0)),""))</f>
        <v/>
      </c>
      <c r="I522" s="11" t="str">
        <f aca="false">IF(D522="","",IF(D522&gt;UmbralAlarma,"Alarmante",IF(D522&gt;=UmbralRegular,"Regular","Bueno")))</f>
        <v/>
      </c>
      <c r="J522" s="11" t="str">
        <f aca="true">IF(COUNTA(A522:F522)=0,"",IF(OR(A522="",B522="",C522="",D522=""),"Faltan datos",IF(G522="","AP no está en el catálogo",IF(A522&gt;TODAY()+1,"Fecha futura",IF(OR(D522&lt;0,D522&lt;&gt;INT(D522)),"Usuarios no válidos",IF(AND(E522&lt;&gt;"",OR(E522&lt;0,E522&gt;1)),"Utilización fuera de 0-100%",IF(COUNTIFS($A$5:$A$604,A522,$B$5:$B$604,B522,$C$5:$C$604,C522)&gt;1,"Fila duplicada","OK")))))))</f>
        <v/>
      </c>
      <c r="K522" s="9"/>
    </row>
    <row r="523" customFormat="false" ht="15" hidden="false" customHeight="false" outlineLevel="0" collapsed="false">
      <c r="A523" s="7"/>
      <c r="B523" s="8"/>
      <c r="C523" s="9"/>
      <c r="D523" s="20"/>
      <c r="E523" s="10"/>
      <c r="F523" s="9"/>
      <c r="G523" s="11" t="str">
        <f aca="false">IF(C523="","",IFERROR(INDEX(Catálogo!$B$5:$B$2000,MATCH(C523,Catálogo!$A$5:$A$2000,0)),""))</f>
        <v/>
      </c>
      <c r="H523" s="11" t="str">
        <f aca="false">IF(C523="","",IFERROR(INDEX(Catálogo!$C$5:$C$2000,MATCH(C523,Catálogo!$A$5:$A$2000,0)),""))</f>
        <v/>
      </c>
      <c r="I523" s="11" t="str">
        <f aca="false">IF(D523="","",IF(D523&gt;UmbralAlarma,"Alarmante",IF(D523&gt;=UmbralRegular,"Regular","Bueno")))</f>
        <v/>
      </c>
      <c r="J523" s="11" t="str">
        <f aca="true">IF(COUNTA(A523:F523)=0,"",IF(OR(A523="",B523="",C523="",D523=""),"Faltan datos",IF(G523="","AP no está en el catálogo",IF(A523&gt;TODAY()+1,"Fecha futura",IF(OR(D523&lt;0,D523&lt;&gt;INT(D523)),"Usuarios no válidos",IF(AND(E523&lt;&gt;"",OR(E523&lt;0,E523&gt;1)),"Utilización fuera de 0-100%",IF(COUNTIFS($A$5:$A$604,A523,$B$5:$B$604,B523,$C$5:$C$604,C523)&gt;1,"Fila duplicada","OK")))))))</f>
        <v/>
      </c>
      <c r="K523" s="9"/>
    </row>
    <row r="524" customFormat="false" ht="15" hidden="false" customHeight="false" outlineLevel="0" collapsed="false">
      <c r="A524" s="7"/>
      <c r="B524" s="8"/>
      <c r="C524" s="9"/>
      <c r="D524" s="20"/>
      <c r="E524" s="10"/>
      <c r="F524" s="9"/>
      <c r="G524" s="11" t="str">
        <f aca="false">IF(C524="","",IFERROR(INDEX(Catálogo!$B$5:$B$2000,MATCH(C524,Catálogo!$A$5:$A$2000,0)),""))</f>
        <v/>
      </c>
      <c r="H524" s="11" t="str">
        <f aca="false">IF(C524="","",IFERROR(INDEX(Catálogo!$C$5:$C$2000,MATCH(C524,Catálogo!$A$5:$A$2000,0)),""))</f>
        <v/>
      </c>
      <c r="I524" s="11" t="str">
        <f aca="false">IF(D524="","",IF(D524&gt;UmbralAlarma,"Alarmante",IF(D524&gt;=UmbralRegular,"Regular","Bueno")))</f>
        <v/>
      </c>
      <c r="J524" s="11" t="str">
        <f aca="true">IF(COUNTA(A524:F524)=0,"",IF(OR(A524="",B524="",C524="",D524=""),"Faltan datos",IF(G524="","AP no está en el catálogo",IF(A524&gt;TODAY()+1,"Fecha futura",IF(OR(D524&lt;0,D524&lt;&gt;INT(D524)),"Usuarios no válidos",IF(AND(E524&lt;&gt;"",OR(E524&lt;0,E524&gt;1)),"Utilización fuera de 0-100%",IF(COUNTIFS($A$5:$A$604,A524,$B$5:$B$604,B524,$C$5:$C$604,C524)&gt;1,"Fila duplicada","OK")))))))</f>
        <v/>
      </c>
      <c r="K524" s="9"/>
    </row>
    <row r="525" customFormat="false" ht="15" hidden="false" customHeight="false" outlineLevel="0" collapsed="false">
      <c r="A525" s="7"/>
      <c r="B525" s="8"/>
      <c r="C525" s="9"/>
      <c r="D525" s="20"/>
      <c r="E525" s="10"/>
      <c r="F525" s="9"/>
      <c r="G525" s="11" t="str">
        <f aca="false">IF(C525="","",IFERROR(INDEX(Catálogo!$B$5:$B$2000,MATCH(C525,Catálogo!$A$5:$A$2000,0)),""))</f>
        <v/>
      </c>
      <c r="H525" s="11" t="str">
        <f aca="false">IF(C525="","",IFERROR(INDEX(Catálogo!$C$5:$C$2000,MATCH(C525,Catálogo!$A$5:$A$2000,0)),""))</f>
        <v/>
      </c>
      <c r="I525" s="11" t="str">
        <f aca="false">IF(D525="","",IF(D525&gt;UmbralAlarma,"Alarmante",IF(D525&gt;=UmbralRegular,"Regular","Bueno")))</f>
        <v/>
      </c>
      <c r="J525" s="11" t="str">
        <f aca="true">IF(COUNTA(A525:F525)=0,"",IF(OR(A525="",B525="",C525="",D525=""),"Faltan datos",IF(G525="","AP no está en el catálogo",IF(A525&gt;TODAY()+1,"Fecha futura",IF(OR(D525&lt;0,D525&lt;&gt;INT(D525)),"Usuarios no válidos",IF(AND(E525&lt;&gt;"",OR(E525&lt;0,E525&gt;1)),"Utilización fuera de 0-100%",IF(COUNTIFS($A$5:$A$604,A525,$B$5:$B$604,B525,$C$5:$C$604,C525)&gt;1,"Fila duplicada","OK")))))))</f>
        <v/>
      </c>
      <c r="K525" s="9"/>
    </row>
    <row r="526" customFormat="false" ht="15" hidden="false" customHeight="false" outlineLevel="0" collapsed="false">
      <c r="A526" s="7"/>
      <c r="B526" s="8"/>
      <c r="C526" s="9"/>
      <c r="D526" s="20"/>
      <c r="E526" s="10"/>
      <c r="F526" s="9"/>
      <c r="G526" s="11" t="str">
        <f aca="false">IF(C526="","",IFERROR(INDEX(Catálogo!$B$5:$B$2000,MATCH(C526,Catálogo!$A$5:$A$2000,0)),""))</f>
        <v/>
      </c>
      <c r="H526" s="11" t="str">
        <f aca="false">IF(C526="","",IFERROR(INDEX(Catálogo!$C$5:$C$2000,MATCH(C526,Catálogo!$A$5:$A$2000,0)),""))</f>
        <v/>
      </c>
      <c r="I526" s="11" t="str">
        <f aca="false">IF(D526="","",IF(D526&gt;UmbralAlarma,"Alarmante",IF(D526&gt;=UmbralRegular,"Regular","Bueno")))</f>
        <v/>
      </c>
      <c r="J526" s="11" t="str">
        <f aca="true">IF(COUNTA(A526:F526)=0,"",IF(OR(A526="",B526="",C526="",D526=""),"Faltan datos",IF(G526="","AP no está en el catálogo",IF(A526&gt;TODAY()+1,"Fecha futura",IF(OR(D526&lt;0,D526&lt;&gt;INT(D526)),"Usuarios no válidos",IF(AND(E526&lt;&gt;"",OR(E526&lt;0,E526&gt;1)),"Utilización fuera de 0-100%",IF(COUNTIFS($A$5:$A$604,A526,$B$5:$B$604,B526,$C$5:$C$604,C526)&gt;1,"Fila duplicada","OK")))))))</f>
        <v/>
      </c>
      <c r="K526" s="9"/>
    </row>
    <row r="527" customFormat="false" ht="15" hidden="false" customHeight="false" outlineLevel="0" collapsed="false">
      <c r="A527" s="7"/>
      <c r="B527" s="8"/>
      <c r="C527" s="9"/>
      <c r="D527" s="20"/>
      <c r="E527" s="10"/>
      <c r="F527" s="9"/>
      <c r="G527" s="11" t="str">
        <f aca="false">IF(C527="","",IFERROR(INDEX(Catálogo!$B$5:$B$2000,MATCH(C527,Catálogo!$A$5:$A$2000,0)),""))</f>
        <v/>
      </c>
      <c r="H527" s="11" t="str">
        <f aca="false">IF(C527="","",IFERROR(INDEX(Catálogo!$C$5:$C$2000,MATCH(C527,Catálogo!$A$5:$A$2000,0)),""))</f>
        <v/>
      </c>
      <c r="I527" s="11" t="str">
        <f aca="false">IF(D527="","",IF(D527&gt;UmbralAlarma,"Alarmante",IF(D527&gt;=UmbralRegular,"Regular","Bueno")))</f>
        <v/>
      </c>
      <c r="J527" s="11" t="str">
        <f aca="true">IF(COUNTA(A527:F527)=0,"",IF(OR(A527="",B527="",C527="",D527=""),"Faltan datos",IF(G527="","AP no está en el catálogo",IF(A527&gt;TODAY()+1,"Fecha futura",IF(OR(D527&lt;0,D527&lt;&gt;INT(D527)),"Usuarios no válidos",IF(AND(E527&lt;&gt;"",OR(E527&lt;0,E527&gt;1)),"Utilización fuera de 0-100%",IF(COUNTIFS($A$5:$A$604,A527,$B$5:$B$604,B527,$C$5:$C$604,C527)&gt;1,"Fila duplicada","OK")))))))</f>
        <v/>
      </c>
      <c r="K527" s="9"/>
    </row>
    <row r="528" customFormat="false" ht="15" hidden="false" customHeight="false" outlineLevel="0" collapsed="false">
      <c r="A528" s="7"/>
      <c r="B528" s="8"/>
      <c r="C528" s="9"/>
      <c r="D528" s="20"/>
      <c r="E528" s="10"/>
      <c r="F528" s="9"/>
      <c r="G528" s="11" t="str">
        <f aca="false">IF(C528="","",IFERROR(INDEX(Catálogo!$B$5:$B$2000,MATCH(C528,Catálogo!$A$5:$A$2000,0)),""))</f>
        <v/>
      </c>
      <c r="H528" s="11" t="str">
        <f aca="false">IF(C528="","",IFERROR(INDEX(Catálogo!$C$5:$C$2000,MATCH(C528,Catálogo!$A$5:$A$2000,0)),""))</f>
        <v/>
      </c>
      <c r="I528" s="11" t="str">
        <f aca="false">IF(D528="","",IF(D528&gt;UmbralAlarma,"Alarmante",IF(D528&gt;=UmbralRegular,"Regular","Bueno")))</f>
        <v/>
      </c>
      <c r="J528" s="11" t="str">
        <f aca="true">IF(COUNTA(A528:F528)=0,"",IF(OR(A528="",B528="",C528="",D528=""),"Faltan datos",IF(G528="","AP no está en el catálogo",IF(A528&gt;TODAY()+1,"Fecha futura",IF(OR(D528&lt;0,D528&lt;&gt;INT(D528)),"Usuarios no válidos",IF(AND(E528&lt;&gt;"",OR(E528&lt;0,E528&gt;1)),"Utilización fuera de 0-100%",IF(COUNTIFS($A$5:$A$604,A528,$B$5:$B$604,B528,$C$5:$C$604,C528)&gt;1,"Fila duplicada","OK")))))))</f>
        <v/>
      </c>
      <c r="K528" s="9"/>
    </row>
    <row r="529" customFormat="false" ht="15" hidden="false" customHeight="false" outlineLevel="0" collapsed="false">
      <c r="A529" s="7"/>
      <c r="B529" s="8"/>
      <c r="C529" s="9"/>
      <c r="D529" s="20"/>
      <c r="E529" s="10"/>
      <c r="F529" s="9"/>
      <c r="G529" s="11" t="str">
        <f aca="false">IF(C529="","",IFERROR(INDEX(Catálogo!$B$5:$B$2000,MATCH(C529,Catálogo!$A$5:$A$2000,0)),""))</f>
        <v/>
      </c>
      <c r="H529" s="11" t="str">
        <f aca="false">IF(C529="","",IFERROR(INDEX(Catálogo!$C$5:$C$2000,MATCH(C529,Catálogo!$A$5:$A$2000,0)),""))</f>
        <v/>
      </c>
      <c r="I529" s="11" t="str">
        <f aca="false">IF(D529="","",IF(D529&gt;UmbralAlarma,"Alarmante",IF(D529&gt;=UmbralRegular,"Regular","Bueno")))</f>
        <v/>
      </c>
      <c r="J529" s="11" t="str">
        <f aca="true">IF(COUNTA(A529:F529)=0,"",IF(OR(A529="",B529="",C529="",D529=""),"Faltan datos",IF(G529="","AP no está en el catálogo",IF(A529&gt;TODAY()+1,"Fecha futura",IF(OR(D529&lt;0,D529&lt;&gt;INT(D529)),"Usuarios no válidos",IF(AND(E529&lt;&gt;"",OR(E529&lt;0,E529&gt;1)),"Utilización fuera de 0-100%",IF(COUNTIFS($A$5:$A$604,A529,$B$5:$B$604,B529,$C$5:$C$604,C529)&gt;1,"Fila duplicada","OK")))))))</f>
        <v/>
      </c>
      <c r="K529" s="9"/>
    </row>
    <row r="530" customFormat="false" ht="15" hidden="false" customHeight="false" outlineLevel="0" collapsed="false">
      <c r="A530" s="7"/>
      <c r="B530" s="8"/>
      <c r="C530" s="9"/>
      <c r="D530" s="20"/>
      <c r="E530" s="10"/>
      <c r="F530" s="9"/>
      <c r="G530" s="11" t="str">
        <f aca="false">IF(C530="","",IFERROR(INDEX(Catálogo!$B$5:$B$2000,MATCH(C530,Catálogo!$A$5:$A$2000,0)),""))</f>
        <v/>
      </c>
      <c r="H530" s="11" t="str">
        <f aca="false">IF(C530="","",IFERROR(INDEX(Catálogo!$C$5:$C$2000,MATCH(C530,Catálogo!$A$5:$A$2000,0)),""))</f>
        <v/>
      </c>
      <c r="I530" s="11" t="str">
        <f aca="false">IF(D530="","",IF(D530&gt;UmbralAlarma,"Alarmante",IF(D530&gt;=UmbralRegular,"Regular","Bueno")))</f>
        <v/>
      </c>
      <c r="J530" s="11" t="str">
        <f aca="true">IF(COUNTA(A530:F530)=0,"",IF(OR(A530="",B530="",C530="",D530=""),"Faltan datos",IF(G530="","AP no está en el catálogo",IF(A530&gt;TODAY()+1,"Fecha futura",IF(OR(D530&lt;0,D530&lt;&gt;INT(D530)),"Usuarios no válidos",IF(AND(E530&lt;&gt;"",OR(E530&lt;0,E530&gt;1)),"Utilización fuera de 0-100%",IF(COUNTIFS($A$5:$A$604,A530,$B$5:$B$604,B530,$C$5:$C$604,C530)&gt;1,"Fila duplicada","OK")))))))</f>
        <v/>
      </c>
      <c r="K530" s="9"/>
    </row>
    <row r="531" customFormat="false" ht="15" hidden="false" customHeight="false" outlineLevel="0" collapsed="false">
      <c r="A531" s="7"/>
      <c r="B531" s="8"/>
      <c r="C531" s="9"/>
      <c r="D531" s="20"/>
      <c r="E531" s="10"/>
      <c r="F531" s="9"/>
      <c r="G531" s="11" t="str">
        <f aca="false">IF(C531="","",IFERROR(INDEX(Catálogo!$B$5:$B$2000,MATCH(C531,Catálogo!$A$5:$A$2000,0)),""))</f>
        <v/>
      </c>
      <c r="H531" s="11" t="str">
        <f aca="false">IF(C531="","",IFERROR(INDEX(Catálogo!$C$5:$C$2000,MATCH(C531,Catálogo!$A$5:$A$2000,0)),""))</f>
        <v/>
      </c>
      <c r="I531" s="11" t="str">
        <f aca="false">IF(D531="","",IF(D531&gt;UmbralAlarma,"Alarmante",IF(D531&gt;=UmbralRegular,"Regular","Bueno")))</f>
        <v/>
      </c>
      <c r="J531" s="11" t="str">
        <f aca="true">IF(COUNTA(A531:F531)=0,"",IF(OR(A531="",B531="",C531="",D531=""),"Faltan datos",IF(G531="","AP no está en el catálogo",IF(A531&gt;TODAY()+1,"Fecha futura",IF(OR(D531&lt;0,D531&lt;&gt;INT(D531)),"Usuarios no válidos",IF(AND(E531&lt;&gt;"",OR(E531&lt;0,E531&gt;1)),"Utilización fuera de 0-100%",IF(COUNTIFS($A$5:$A$604,A531,$B$5:$B$604,B531,$C$5:$C$604,C531)&gt;1,"Fila duplicada","OK")))))))</f>
        <v/>
      </c>
      <c r="K531" s="9"/>
    </row>
    <row r="532" customFormat="false" ht="15" hidden="false" customHeight="false" outlineLevel="0" collapsed="false">
      <c r="A532" s="7"/>
      <c r="B532" s="8"/>
      <c r="C532" s="9"/>
      <c r="D532" s="20"/>
      <c r="E532" s="10"/>
      <c r="F532" s="9"/>
      <c r="G532" s="11" t="str">
        <f aca="false">IF(C532="","",IFERROR(INDEX(Catálogo!$B$5:$B$2000,MATCH(C532,Catálogo!$A$5:$A$2000,0)),""))</f>
        <v/>
      </c>
      <c r="H532" s="11" t="str">
        <f aca="false">IF(C532="","",IFERROR(INDEX(Catálogo!$C$5:$C$2000,MATCH(C532,Catálogo!$A$5:$A$2000,0)),""))</f>
        <v/>
      </c>
      <c r="I532" s="11" t="str">
        <f aca="false">IF(D532="","",IF(D532&gt;UmbralAlarma,"Alarmante",IF(D532&gt;=UmbralRegular,"Regular","Bueno")))</f>
        <v/>
      </c>
      <c r="J532" s="11" t="str">
        <f aca="true">IF(COUNTA(A532:F532)=0,"",IF(OR(A532="",B532="",C532="",D532=""),"Faltan datos",IF(G532="","AP no está en el catálogo",IF(A532&gt;TODAY()+1,"Fecha futura",IF(OR(D532&lt;0,D532&lt;&gt;INT(D532)),"Usuarios no válidos",IF(AND(E532&lt;&gt;"",OR(E532&lt;0,E532&gt;1)),"Utilización fuera de 0-100%",IF(COUNTIFS($A$5:$A$604,A532,$B$5:$B$604,B532,$C$5:$C$604,C532)&gt;1,"Fila duplicada","OK")))))))</f>
        <v/>
      </c>
      <c r="K532" s="9"/>
    </row>
    <row r="533" customFormat="false" ht="15" hidden="false" customHeight="false" outlineLevel="0" collapsed="false">
      <c r="A533" s="7"/>
      <c r="B533" s="8"/>
      <c r="C533" s="9"/>
      <c r="D533" s="20"/>
      <c r="E533" s="10"/>
      <c r="F533" s="9"/>
      <c r="G533" s="11" t="str">
        <f aca="false">IF(C533="","",IFERROR(INDEX(Catálogo!$B$5:$B$2000,MATCH(C533,Catálogo!$A$5:$A$2000,0)),""))</f>
        <v/>
      </c>
      <c r="H533" s="11" t="str">
        <f aca="false">IF(C533="","",IFERROR(INDEX(Catálogo!$C$5:$C$2000,MATCH(C533,Catálogo!$A$5:$A$2000,0)),""))</f>
        <v/>
      </c>
      <c r="I533" s="11" t="str">
        <f aca="false">IF(D533="","",IF(D533&gt;UmbralAlarma,"Alarmante",IF(D533&gt;=UmbralRegular,"Regular","Bueno")))</f>
        <v/>
      </c>
      <c r="J533" s="11" t="str">
        <f aca="true">IF(COUNTA(A533:F533)=0,"",IF(OR(A533="",B533="",C533="",D533=""),"Faltan datos",IF(G533="","AP no está en el catálogo",IF(A533&gt;TODAY()+1,"Fecha futura",IF(OR(D533&lt;0,D533&lt;&gt;INT(D533)),"Usuarios no válidos",IF(AND(E533&lt;&gt;"",OR(E533&lt;0,E533&gt;1)),"Utilización fuera de 0-100%",IF(COUNTIFS($A$5:$A$604,A533,$B$5:$B$604,B533,$C$5:$C$604,C533)&gt;1,"Fila duplicada","OK")))))))</f>
        <v/>
      </c>
      <c r="K533" s="9"/>
    </row>
    <row r="534" customFormat="false" ht="15" hidden="false" customHeight="false" outlineLevel="0" collapsed="false">
      <c r="A534" s="7"/>
      <c r="B534" s="8"/>
      <c r="C534" s="9"/>
      <c r="D534" s="20"/>
      <c r="E534" s="10"/>
      <c r="F534" s="9"/>
      <c r="G534" s="11" t="str">
        <f aca="false">IF(C534="","",IFERROR(INDEX(Catálogo!$B$5:$B$2000,MATCH(C534,Catálogo!$A$5:$A$2000,0)),""))</f>
        <v/>
      </c>
      <c r="H534" s="11" t="str">
        <f aca="false">IF(C534="","",IFERROR(INDEX(Catálogo!$C$5:$C$2000,MATCH(C534,Catálogo!$A$5:$A$2000,0)),""))</f>
        <v/>
      </c>
      <c r="I534" s="11" t="str">
        <f aca="false">IF(D534="","",IF(D534&gt;UmbralAlarma,"Alarmante",IF(D534&gt;=UmbralRegular,"Regular","Bueno")))</f>
        <v/>
      </c>
      <c r="J534" s="11" t="str">
        <f aca="true">IF(COUNTA(A534:F534)=0,"",IF(OR(A534="",B534="",C534="",D534=""),"Faltan datos",IF(G534="","AP no está en el catálogo",IF(A534&gt;TODAY()+1,"Fecha futura",IF(OR(D534&lt;0,D534&lt;&gt;INT(D534)),"Usuarios no válidos",IF(AND(E534&lt;&gt;"",OR(E534&lt;0,E534&gt;1)),"Utilización fuera de 0-100%",IF(COUNTIFS($A$5:$A$604,A534,$B$5:$B$604,B534,$C$5:$C$604,C534)&gt;1,"Fila duplicada","OK")))))))</f>
        <v/>
      </c>
      <c r="K534" s="9"/>
    </row>
    <row r="535" customFormat="false" ht="15" hidden="false" customHeight="false" outlineLevel="0" collapsed="false">
      <c r="A535" s="7"/>
      <c r="B535" s="8"/>
      <c r="C535" s="9"/>
      <c r="D535" s="20"/>
      <c r="E535" s="10"/>
      <c r="F535" s="9"/>
      <c r="G535" s="11" t="str">
        <f aca="false">IF(C535="","",IFERROR(INDEX(Catálogo!$B$5:$B$2000,MATCH(C535,Catálogo!$A$5:$A$2000,0)),""))</f>
        <v/>
      </c>
      <c r="H535" s="11" t="str">
        <f aca="false">IF(C535="","",IFERROR(INDEX(Catálogo!$C$5:$C$2000,MATCH(C535,Catálogo!$A$5:$A$2000,0)),""))</f>
        <v/>
      </c>
      <c r="I535" s="11" t="str">
        <f aca="false">IF(D535="","",IF(D535&gt;UmbralAlarma,"Alarmante",IF(D535&gt;=UmbralRegular,"Regular","Bueno")))</f>
        <v/>
      </c>
      <c r="J535" s="11" t="str">
        <f aca="true">IF(COUNTA(A535:F535)=0,"",IF(OR(A535="",B535="",C535="",D535=""),"Faltan datos",IF(G535="","AP no está en el catálogo",IF(A535&gt;TODAY()+1,"Fecha futura",IF(OR(D535&lt;0,D535&lt;&gt;INT(D535)),"Usuarios no válidos",IF(AND(E535&lt;&gt;"",OR(E535&lt;0,E535&gt;1)),"Utilización fuera de 0-100%",IF(COUNTIFS($A$5:$A$604,A535,$B$5:$B$604,B535,$C$5:$C$604,C535)&gt;1,"Fila duplicada","OK")))))))</f>
        <v/>
      </c>
      <c r="K535" s="9"/>
    </row>
    <row r="536" customFormat="false" ht="15" hidden="false" customHeight="false" outlineLevel="0" collapsed="false">
      <c r="A536" s="7"/>
      <c r="B536" s="8"/>
      <c r="C536" s="9"/>
      <c r="D536" s="20"/>
      <c r="E536" s="10"/>
      <c r="F536" s="9"/>
      <c r="G536" s="11" t="str">
        <f aca="false">IF(C536="","",IFERROR(INDEX(Catálogo!$B$5:$B$2000,MATCH(C536,Catálogo!$A$5:$A$2000,0)),""))</f>
        <v/>
      </c>
      <c r="H536" s="11" t="str">
        <f aca="false">IF(C536="","",IFERROR(INDEX(Catálogo!$C$5:$C$2000,MATCH(C536,Catálogo!$A$5:$A$2000,0)),""))</f>
        <v/>
      </c>
      <c r="I536" s="11" t="str">
        <f aca="false">IF(D536="","",IF(D536&gt;UmbralAlarma,"Alarmante",IF(D536&gt;=UmbralRegular,"Regular","Bueno")))</f>
        <v/>
      </c>
      <c r="J536" s="11" t="str">
        <f aca="true">IF(COUNTA(A536:F536)=0,"",IF(OR(A536="",B536="",C536="",D536=""),"Faltan datos",IF(G536="","AP no está en el catálogo",IF(A536&gt;TODAY()+1,"Fecha futura",IF(OR(D536&lt;0,D536&lt;&gt;INT(D536)),"Usuarios no válidos",IF(AND(E536&lt;&gt;"",OR(E536&lt;0,E536&gt;1)),"Utilización fuera de 0-100%",IF(COUNTIFS($A$5:$A$604,A536,$B$5:$B$604,B536,$C$5:$C$604,C536)&gt;1,"Fila duplicada","OK")))))))</f>
        <v/>
      </c>
      <c r="K536" s="9"/>
    </row>
    <row r="537" customFormat="false" ht="15" hidden="false" customHeight="false" outlineLevel="0" collapsed="false">
      <c r="A537" s="7"/>
      <c r="B537" s="8"/>
      <c r="C537" s="9"/>
      <c r="D537" s="20"/>
      <c r="E537" s="10"/>
      <c r="F537" s="9"/>
      <c r="G537" s="11" t="str">
        <f aca="false">IF(C537="","",IFERROR(INDEX(Catálogo!$B$5:$B$2000,MATCH(C537,Catálogo!$A$5:$A$2000,0)),""))</f>
        <v/>
      </c>
      <c r="H537" s="11" t="str">
        <f aca="false">IF(C537="","",IFERROR(INDEX(Catálogo!$C$5:$C$2000,MATCH(C537,Catálogo!$A$5:$A$2000,0)),""))</f>
        <v/>
      </c>
      <c r="I537" s="11" t="str">
        <f aca="false">IF(D537="","",IF(D537&gt;UmbralAlarma,"Alarmante",IF(D537&gt;=UmbralRegular,"Regular","Bueno")))</f>
        <v/>
      </c>
      <c r="J537" s="11" t="str">
        <f aca="true">IF(COUNTA(A537:F537)=0,"",IF(OR(A537="",B537="",C537="",D537=""),"Faltan datos",IF(G537="","AP no está en el catálogo",IF(A537&gt;TODAY()+1,"Fecha futura",IF(OR(D537&lt;0,D537&lt;&gt;INT(D537)),"Usuarios no válidos",IF(AND(E537&lt;&gt;"",OR(E537&lt;0,E537&gt;1)),"Utilización fuera de 0-100%",IF(COUNTIFS($A$5:$A$604,A537,$B$5:$B$604,B537,$C$5:$C$604,C537)&gt;1,"Fila duplicada","OK")))))))</f>
        <v/>
      </c>
      <c r="K537" s="9"/>
    </row>
    <row r="538" customFormat="false" ht="15" hidden="false" customHeight="false" outlineLevel="0" collapsed="false">
      <c r="A538" s="7"/>
      <c r="B538" s="8"/>
      <c r="C538" s="9"/>
      <c r="D538" s="20"/>
      <c r="E538" s="10"/>
      <c r="F538" s="9"/>
      <c r="G538" s="11" t="str">
        <f aca="false">IF(C538="","",IFERROR(INDEX(Catálogo!$B$5:$B$2000,MATCH(C538,Catálogo!$A$5:$A$2000,0)),""))</f>
        <v/>
      </c>
      <c r="H538" s="11" t="str">
        <f aca="false">IF(C538="","",IFERROR(INDEX(Catálogo!$C$5:$C$2000,MATCH(C538,Catálogo!$A$5:$A$2000,0)),""))</f>
        <v/>
      </c>
      <c r="I538" s="11" t="str">
        <f aca="false">IF(D538="","",IF(D538&gt;UmbralAlarma,"Alarmante",IF(D538&gt;=UmbralRegular,"Regular","Bueno")))</f>
        <v/>
      </c>
      <c r="J538" s="11" t="str">
        <f aca="true">IF(COUNTA(A538:F538)=0,"",IF(OR(A538="",B538="",C538="",D538=""),"Faltan datos",IF(G538="","AP no está en el catálogo",IF(A538&gt;TODAY()+1,"Fecha futura",IF(OR(D538&lt;0,D538&lt;&gt;INT(D538)),"Usuarios no válidos",IF(AND(E538&lt;&gt;"",OR(E538&lt;0,E538&gt;1)),"Utilización fuera de 0-100%",IF(COUNTIFS($A$5:$A$604,A538,$B$5:$B$604,B538,$C$5:$C$604,C538)&gt;1,"Fila duplicada","OK")))))))</f>
        <v/>
      </c>
      <c r="K538" s="9"/>
    </row>
    <row r="539" customFormat="false" ht="15" hidden="false" customHeight="false" outlineLevel="0" collapsed="false">
      <c r="A539" s="7"/>
      <c r="B539" s="8"/>
      <c r="C539" s="9"/>
      <c r="D539" s="20"/>
      <c r="E539" s="10"/>
      <c r="F539" s="9"/>
      <c r="G539" s="11" t="str">
        <f aca="false">IF(C539="","",IFERROR(INDEX(Catálogo!$B$5:$B$2000,MATCH(C539,Catálogo!$A$5:$A$2000,0)),""))</f>
        <v/>
      </c>
      <c r="H539" s="11" t="str">
        <f aca="false">IF(C539="","",IFERROR(INDEX(Catálogo!$C$5:$C$2000,MATCH(C539,Catálogo!$A$5:$A$2000,0)),""))</f>
        <v/>
      </c>
      <c r="I539" s="11" t="str">
        <f aca="false">IF(D539="","",IF(D539&gt;UmbralAlarma,"Alarmante",IF(D539&gt;=UmbralRegular,"Regular","Bueno")))</f>
        <v/>
      </c>
      <c r="J539" s="11" t="str">
        <f aca="true">IF(COUNTA(A539:F539)=0,"",IF(OR(A539="",B539="",C539="",D539=""),"Faltan datos",IF(G539="","AP no está en el catálogo",IF(A539&gt;TODAY()+1,"Fecha futura",IF(OR(D539&lt;0,D539&lt;&gt;INT(D539)),"Usuarios no válidos",IF(AND(E539&lt;&gt;"",OR(E539&lt;0,E539&gt;1)),"Utilización fuera de 0-100%",IF(COUNTIFS($A$5:$A$604,A539,$B$5:$B$604,B539,$C$5:$C$604,C539)&gt;1,"Fila duplicada","OK")))))))</f>
        <v/>
      </c>
      <c r="K539" s="9"/>
    </row>
    <row r="540" customFormat="false" ht="15" hidden="false" customHeight="false" outlineLevel="0" collapsed="false">
      <c r="A540" s="7"/>
      <c r="B540" s="8"/>
      <c r="C540" s="9"/>
      <c r="D540" s="20"/>
      <c r="E540" s="10"/>
      <c r="F540" s="9"/>
      <c r="G540" s="11" t="str">
        <f aca="false">IF(C540="","",IFERROR(INDEX(Catálogo!$B$5:$B$2000,MATCH(C540,Catálogo!$A$5:$A$2000,0)),""))</f>
        <v/>
      </c>
      <c r="H540" s="11" t="str">
        <f aca="false">IF(C540="","",IFERROR(INDEX(Catálogo!$C$5:$C$2000,MATCH(C540,Catálogo!$A$5:$A$2000,0)),""))</f>
        <v/>
      </c>
      <c r="I540" s="11" t="str">
        <f aca="false">IF(D540="","",IF(D540&gt;UmbralAlarma,"Alarmante",IF(D540&gt;=UmbralRegular,"Regular","Bueno")))</f>
        <v/>
      </c>
      <c r="J540" s="11" t="str">
        <f aca="true">IF(COUNTA(A540:F540)=0,"",IF(OR(A540="",B540="",C540="",D540=""),"Faltan datos",IF(G540="","AP no está en el catálogo",IF(A540&gt;TODAY()+1,"Fecha futura",IF(OR(D540&lt;0,D540&lt;&gt;INT(D540)),"Usuarios no válidos",IF(AND(E540&lt;&gt;"",OR(E540&lt;0,E540&gt;1)),"Utilización fuera de 0-100%",IF(COUNTIFS($A$5:$A$604,A540,$B$5:$B$604,B540,$C$5:$C$604,C540)&gt;1,"Fila duplicada","OK")))))))</f>
        <v/>
      </c>
      <c r="K540" s="9"/>
    </row>
    <row r="541" customFormat="false" ht="15" hidden="false" customHeight="false" outlineLevel="0" collapsed="false">
      <c r="A541" s="7"/>
      <c r="B541" s="8"/>
      <c r="C541" s="9"/>
      <c r="D541" s="20"/>
      <c r="E541" s="10"/>
      <c r="F541" s="9"/>
      <c r="G541" s="11" t="str">
        <f aca="false">IF(C541="","",IFERROR(INDEX(Catálogo!$B$5:$B$2000,MATCH(C541,Catálogo!$A$5:$A$2000,0)),""))</f>
        <v/>
      </c>
      <c r="H541" s="11" t="str">
        <f aca="false">IF(C541="","",IFERROR(INDEX(Catálogo!$C$5:$C$2000,MATCH(C541,Catálogo!$A$5:$A$2000,0)),""))</f>
        <v/>
      </c>
      <c r="I541" s="11" t="str">
        <f aca="false">IF(D541="","",IF(D541&gt;UmbralAlarma,"Alarmante",IF(D541&gt;=UmbralRegular,"Regular","Bueno")))</f>
        <v/>
      </c>
      <c r="J541" s="11" t="str">
        <f aca="true">IF(COUNTA(A541:F541)=0,"",IF(OR(A541="",B541="",C541="",D541=""),"Faltan datos",IF(G541="","AP no está en el catálogo",IF(A541&gt;TODAY()+1,"Fecha futura",IF(OR(D541&lt;0,D541&lt;&gt;INT(D541)),"Usuarios no válidos",IF(AND(E541&lt;&gt;"",OR(E541&lt;0,E541&gt;1)),"Utilización fuera de 0-100%",IF(COUNTIFS($A$5:$A$604,A541,$B$5:$B$604,B541,$C$5:$C$604,C541)&gt;1,"Fila duplicada","OK")))))))</f>
        <v/>
      </c>
      <c r="K541" s="9"/>
    </row>
    <row r="542" customFormat="false" ht="15" hidden="false" customHeight="false" outlineLevel="0" collapsed="false">
      <c r="A542" s="7"/>
      <c r="B542" s="8"/>
      <c r="C542" s="9"/>
      <c r="D542" s="20"/>
      <c r="E542" s="10"/>
      <c r="F542" s="9"/>
      <c r="G542" s="11" t="str">
        <f aca="false">IF(C542="","",IFERROR(INDEX(Catálogo!$B$5:$B$2000,MATCH(C542,Catálogo!$A$5:$A$2000,0)),""))</f>
        <v/>
      </c>
      <c r="H542" s="11" t="str">
        <f aca="false">IF(C542="","",IFERROR(INDEX(Catálogo!$C$5:$C$2000,MATCH(C542,Catálogo!$A$5:$A$2000,0)),""))</f>
        <v/>
      </c>
      <c r="I542" s="11" t="str">
        <f aca="false">IF(D542="","",IF(D542&gt;UmbralAlarma,"Alarmante",IF(D542&gt;=UmbralRegular,"Regular","Bueno")))</f>
        <v/>
      </c>
      <c r="J542" s="11" t="str">
        <f aca="true">IF(COUNTA(A542:F542)=0,"",IF(OR(A542="",B542="",C542="",D542=""),"Faltan datos",IF(G542="","AP no está en el catálogo",IF(A542&gt;TODAY()+1,"Fecha futura",IF(OR(D542&lt;0,D542&lt;&gt;INT(D542)),"Usuarios no válidos",IF(AND(E542&lt;&gt;"",OR(E542&lt;0,E542&gt;1)),"Utilización fuera de 0-100%",IF(COUNTIFS($A$5:$A$604,A542,$B$5:$B$604,B542,$C$5:$C$604,C542)&gt;1,"Fila duplicada","OK")))))))</f>
        <v/>
      </c>
      <c r="K542" s="9"/>
    </row>
    <row r="543" customFormat="false" ht="15" hidden="false" customHeight="false" outlineLevel="0" collapsed="false">
      <c r="A543" s="7"/>
      <c r="B543" s="8"/>
      <c r="C543" s="9"/>
      <c r="D543" s="20"/>
      <c r="E543" s="10"/>
      <c r="F543" s="9"/>
      <c r="G543" s="11" t="str">
        <f aca="false">IF(C543="","",IFERROR(INDEX(Catálogo!$B$5:$B$2000,MATCH(C543,Catálogo!$A$5:$A$2000,0)),""))</f>
        <v/>
      </c>
      <c r="H543" s="11" t="str">
        <f aca="false">IF(C543="","",IFERROR(INDEX(Catálogo!$C$5:$C$2000,MATCH(C543,Catálogo!$A$5:$A$2000,0)),""))</f>
        <v/>
      </c>
      <c r="I543" s="11" t="str">
        <f aca="false">IF(D543="","",IF(D543&gt;UmbralAlarma,"Alarmante",IF(D543&gt;=UmbralRegular,"Regular","Bueno")))</f>
        <v/>
      </c>
      <c r="J543" s="11" t="str">
        <f aca="true">IF(COUNTA(A543:F543)=0,"",IF(OR(A543="",B543="",C543="",D543=""),"Faltan datos",IF(G543="","AP no está en el catálogo",IF(A543&gt;TODAY()+1,"Fecha futura",IF(OR(D543&lt;0,D543&lt;&gt;INT(D543)),"Usuarios no válidos",IF(AND(E543&lt;&gt;"",OR(E543&lt;0,E543&gt;1)),"Utilización fuera de 0-100%",IF(COUNTIFS($A$5:$A$604,A543,$B$5:$B$604,B543,$C$5:$C$604,C543)&gt;1,"Fila duplicada","OK")))))))</f>
        <v/>
      </c>
      <c r="K543" s="9"/>
    </row>
    <row r="544" customFormat="false" ht="15" hidden="false" customHeight="false" outlineLevel="0" collapsed="false">
      <c r="A544" s="7"/>
      <c r="B544" s="8"/>
      <c r="C544" s="9"/>
      <c r="D544" s="20"/>
      <c r="E544" s="10"/>
      <c r="F544" s="9"/>
      <c r="G544" s="11" t="str">
        <f aca="false">IF(C544="","",IFERROR(INDEX(Catálogo!$B$5:$B$2000,MATCH(C544,Catálogo!$A$5:$A$2000,0)),""))</f>
        <v/>
      </c>
      <c r="H544" s="11" t="str">
        <f aca="false">IF(C544="","",IFERROR(INDEX(Catálogo!$C$5:$C$2000,MATCH(C544,Catálogo!$A$5:$A$2000,0)),""))</f>
        <v/>
      </c>
      <c r="I544" s="11" t="str">
        <f aca="false">IF(D544="","",IF(D544&gt;UmbralAlarma,"Alarmante",IF(D544&gt;=UmbralRegular,"Regular","Bueno")))</f>
        <v/>
      </c>
      <c r="J544" s="11" t="str">
        <f aca="true">IF(COUNTA(A544:F544)=0,"",IF(OR(A544="",B544="",C544="",D544=""),"Faltan datos",IF(G544="","AP no está en el catálogo",IF(A544&gt;TODAY()+1,"Fecha futura",IF(OR(D544&lt;0,D544&lt;&gt;INT(D544)),"Usuarios no válidos",IF(AND(E544&lt;&gt;"",OR(E544&lt;0,E544&gt;1)),"Utilización fuera de 0-100%",IF(COUNTIFS($A$5:$A$604,A544,$B$5:$B$604,B544,$C$5:$C$604,C544)&gt;1,"Fila duplicada","OK")))))))</f>
        <v/>
      </c>
      <c r="K544" s="9"/>
    </row>
    <row r="545" customFormat="false" ht="15" hidden="false" customHeight="false" outlineLevel="0" collapsed="false">
      <c r="A545" s="7"/>
      <c r="B545" s="8"/>
      <c r="C545" s="9"/>
      <c r="D545" s="20"/>
      <c r="E545" s="10"/>
      <c r="F545" s="9"/>
      <c r="G545" s="11" t="str">
        <f aca="false">IF(C545="","",IFERROR(INDEX(Catálogo!$B$5:$B$2000,MATCH(C545,Catálogo!$A$5:$A$2000,0)),""))</f>
        <v/>
      </c>
      <c r="H545" s="11" t="str">
        <f aca="false">IF(C545="","",IFERROR(INDEX(Catálogo!$C$5:$C$2000,MATCH(C545,Catálogo!$A$5:$A$2000,0)),""))</f>
        <v/>
      </c>
      <c r="I545" s="11" t="str">
        <f aca="false">IF(D545="","",IF(D545&gt;UmbralAlarma,"Alarmante",IF(D545&gt;=UmbralRegular,"Regular","Bueno")))</f>
        <v/>
      </c>
      <c r="J545" s="11" t="str">
        <f aca="true">IF(COUNTA(A545:F545)=0,"",IF(OR(A545="",B545="",C545="",D545=""),"Faltan datos",IF(G545="","AP no está en el catálogo",IF(A545&gt;TODAY()+1,"Fecha futura",IF(OR(D545&lt;0,D545&lt;&gt;INT(D545)),"Usuarios no válidos",IF(AND(E545&lt;&gt;"",OR(E545&lt;0,E545&gt;1)),"Utilización fuera de 0-100%",IF(COUNTIFS($A$5:$A$604,A545,$B$5:$B$604,B545,$C$5:$C$604,C545)&gt;1,"Fila duplicada","OK")))))))</f>
        <v/>
      </c>
      <c r="K545" s="9"/>
    </row>
    <row r="546" customFormat="false" ht="15" hidden="false" customHeight="false" outlineLevel="0" collapsed="false">
      <c r="A546" s="7"/>
      <c r="B546" s="8"/>
      <c r="C546" s="9"/>
      <c r="D546" s="20"/>
      <c r="E546" s="10"/>
      <c r="F546" s="9"/>
      <c r="G546" s="11" t="str">
        <f aca="false">IF(C546="","",IFERROR(INDEX(Catálogo!$B$5:$B$2000,MATCH(C546,Catálogo!$A$5:$A$2000,0)),""))</f>
        <v/>
      </c>
      <c r="H546" s="11" t="str">
        <f aca="false">IF(C546="","",IFERROR(INDEX(Catálogo!$C$5:$C$2000,MATCH(C546,Catálogo!$A$5:$A$2000,0)),""))</f>
        <v/>
      </c>
      <c r="I546" s="11" t="str">
        <f aca="false">IF(D546="","",IF(D546&gt;UmbralAlarma,"Alarmante",IF(D546&gt;=UmbralRegular,"Regular","Bueno")))</f>
        <v/>
      </c>
      <c r="J546" s="11" t="str">
        <f aca="true">IF(COUNTA(A546:F546)=0,"",IF(OR(A546="",B546="",C546="",D546=""),"Faltan datos",IF(G546="","AP no está en el catálogo",IF(A546&gt;TODAY()+1,"Fecha futura",IF(OR(D546&lt;0,D546&lt;&gt;INT(D546)),"Usuarios no válidos",IF(AND(E546&lt;&gt;"",OR(E546&lt;0,E546&gt;1)),"Utilización fuera de 0-100%",IF(COUNTIFS($A$5:$A$604,A546,$B$5:$B$604,B546,$C$5:$C$604,C546)&gt;1,"Fila duplicada","OK")))))))</f>
        <v/>
      </c>
      <c r="K546" s="9"/>
    </row>
    <row r="547" customFormat="false" ht="15" hidden="false" customHeight="false" outlineLevel="0" collapsed="false">
      <c r="A547" s="7"/>
      <c r="B547" s="8"/>
      <c r="C547" s="9"/>
      <c r="D547" s="20"/>
      <c r="E547" s="10"/>
      <c r="F547" s="9"/>
      <c r="G547" s="11" t="str">
        <f aca="false">IF(C547="","",IFERROR(INDEX(Catálogo!$B$5:$B$2000,MATCH(C547,Catálogo!$A$5:$A$2000,0)),""))</f>
        <v/>
      </c>
      <c r="H547" s="11" t="str">
        <f aca="false">IF(C547="","",IFERROR(INDEX(Catálogo!$C$5:$C$2000,MATCH(C547,Catálogo!$A$5:$A$2000,0)),""))</f>
        <v/>
      </c>
      <c r="I547" s="11" t="str">
        <f aca="false">IF(D547="","",IF(D547&gt;UmbralAlarma,"Alarmante",IF(D547&gt;=UmbralRegular,"Regular","Bueno")))</f>
        <v/>
      </c>
      <c r="J547" s="11" t="str">
        <f aca="true">IF(COUNTA(A547:F547)=0,"",IF(OR(A547="",B547="",C547="",D547=""),"Faltan datos",IF(G547="","AP no está en el catálogo",IF(A547&gt;TODAY()+1,"Fecha futura",IF(OR(D547&lt;0,D547&lt;&gt;INT(D547)),"Usuarios no válidos",IF(AND(E547&lt;&gt;"",OR(E547&lt;0,E547&gt;1)),"Utilización fuera de 0-100%",IF(COUNTIFS($A$5:$A$604,A547,$B$5:$B$604,B547,$C$5:$C$604,C547)&gt;1,"Fila duplicada","OK")))))))</f>
        <v/>
      </c>
      <c r="K547" s="9"/>
    </row>
    <row r="548" customFormat="false" ht="15" hidden="false" customHeight="false" outlineLevel="0" collapsed="false">
      <c r="A548" s="7"/>
      <c r="B548" s="8"/>
      <c r="C548" s="9"/>
      <c r="D548" s="20"/>
      <c r="E548" s="10"/>
      <c r="F548" s="9"/>
      <c r="G548" s="11" t="str">
        <f aca="false">IF(C548="","",IFERROR(INDEX(Catálogo!$B$5:$B$2000,MATCH(C548,Catálogo!$A$5:$A$2000,0)),""))</f>
        <v/>
      </c>
      <c r="H548" s="11" t="str">
        <f aca="false">IF(C548="","",IFERROR(INDEX(Catálogo!$C$5:$C$2000,MATCH(C548,Catálogo!$A$5:$A$2000,0)),""))</f>
        <v/>
      </c>
      <c r="I548" s="11" t="str">
        <f aca="false">IF(D548="","",IF(D548&gt;UmbralAlarma,"Alarmante",IF(D548&gt;=UmbralRegular,"Regular","Bueno")))</f>
        <v/>
      </c>
      <c r="J548" s="11" t="str">
        <f aca="true">IF(COUNTA(A548:F548)=0,"",IF(OR(A548="",B548="",C548="",D548=""),"Faltan datos",IF(G548="","AP no está en el catálogo",IF(A548&gt;TODAY()+1,"Fecha futura",IF(OR(D548&lt;0,D548&lt;&gt;INT(D548)),"Usuarios no válidos",IF(AND(E548&lt;&gt;"",OR(E548&lt;0,E548&gt;1)),"Utilización fuera de 0-100%",IF(COUNTIFS($A$5:$A$604,A548,$B$5:$B$604,B548,$C$5:$C$604,C548)&gt;1,"Fila duplicada","OK")))))))</f>
        <v/>
      </c>
      <c r="K548" s="9"/>
    </row>
    <row r="549" customFormat="false" ht="15" hidden="false" customHeight="false" outlineLevel="0" collapsed="false">
      <c r="A549" s="7"/>
      <c r="B549" s="8"/>
      <c r="C549" s="9"/>
      <c r="D549" s="20"/>
      <c r="E549" s="10"/>
      <c r="F549" s="9"/>
      <c r="G549" s="11" t="str">
        <f aca="false">IF(C549="","",IFERROR(INDEX(Catálogo!$B$5:$B$2000,MATCH(C549,Catálogo!$A$5:$A$2000,0)),""))</f>
        <v/>
      </c>
      <c r="H549" s="11" t="str">
        <f aca="false">IF(C549="","",IFERROR(INDEX(Catálogo!$C$5:$C$2000,MATCH(C549,Catálogo!$A$5:$A$2000,0)),""))</f>
        <v/>
      </c>
      <c r="I549" s="11" t="str">
        <f aca="false">IF(D549="","",IF(D549&gt;UmbralAlarma,"Alarmante",IF(D549&gt;=UmbralRegular,"Regular","Bueno")))</f>
        <v/>
      </c>
      <c r="J549" s="11" t="str">
        <f aca="true">IF(COUNTA(A549:F549)=0,"",IF(OR(A549="",B549="",C549="",D549=""),"Faltan datos",IF(G549="","AP no está en el catálogo",IF(A549&gt;TODAY()+1,"Fecha futura",IF(OR(D549&lt;0,D549&lt;&gt;INT(D549)),"Usuarios no válidos",IF(AND(E549&lt;&gt;"",OR(E549&lt;0,E549&gt;1)),"Utilización fuera de 0-100%",IF(COUNTIFS($A$5:$A$604,A549,$B$5:$B$604,B549,$C$5:$C$604,C549)&gt;1,"Fila duplicada","OK")))))))</f>
        <v/>
      </c>
      <c r="K549" s="9"/>
    </row>
    <row r="550" customFormat="false" ht="15" hidden="false" customHeight="false" outlineLevel="0" collapsed="false">
      <c r="A550" s="7"/>
      <c r="B550" s="8"/>
      <c r="C550" s="9"/>
      <c r="D550" s="20"/>
      <c r="E550" s="10"/>
      <c r="F550" s="9"/>
      <c r="G550" s="11" t="str">
        <f aca="false">IF(C550="","",IFERROR(INDEX(Catálogo!$B$5:$B$2000,MATCH(C550,Catálogo!$A$5:$A$2000,0)),""))</f>
        <v/>
      </c>
      <c r="H550" s="11" t="str">
        <f aca="false">IF(C550="","",IFERROR(INDEX(Catálogo!$C$5:$C$2000,MATCH(C550,Catálogo!$A$5:$A$2000,0)),""))</f>
        <v/>
      </c>
      <c r="I550" s="11" t="str">
        <f aca="false">IF(D550="","",IF(D550&gt;UmbralAlarma,"Alarmante",IF(D550&gt;=UmbralRegular,"Regular","Bueno")))</f>
        <v/>
      </c>
      <c r="J550" s="11" t="str">
        <f aca="true">IF(COUNTA(A550:F550)=0,"",IF(OR(A550="",B550="",C550="",D550=""),"Faltan datos",IF(G550="","AP no está en el catálogo",IF(A550&gt;TODAY()+1,"Fecha futura",IF(OR(D550&lt;0,D550&lt;&gt;INT(D550)),"Usuarios no válidos",IF(AND(E550&lt;&gt;"",OR(E550&lt;0,E550&gt;1)),"Utilización fuera de 0-100%",IF(COUNTIFS($A$5:$A$604,A550,$B$5:$B$604,B550,$C$5:$C$604,C550)&gt;1,"Fila duplicada","OK")))))))</f>
        <v/>
      </c>
      <c r="K550" s="9"/>
    </row>
    <row r="551" customFormat="false" ht="15" hidden="false" customHeight="false" outlineLevel="0" collapsed="false">
      <c r="A551" s="7"/>
      <c r="B551" s="8"/>
      <c r="C551" s="9"/>
      <c r="D551" s="20"/>
      <c r="E551" s="10"/>
      <c r="F551" s="9"/>
      <c r="G551" s="11" t="str">
        <f aca="false">IF(C551="","",IFERROR(INDEX(Catálogo!$B$5:$B$2000,MATCH(C551,Catálogo!$A$5:$A$2000,0)),""))</f>
        <v/>
      </c>
      <c r="H551" s="11" t="str">
        <f aca="false">IF(C551="","",IFERROR(INDEX(Catálogo!$C$5:$C$2000,MATCH(C551,Catálogo!$A$5:$A$2000,0)),""))</f>
        <v/>
      </c>
      <c r="I551" s="11" t="str">
        <f aca="false">IF(D551="","",IF(D551&gt;UmbralAlarma,"Alarmante",IF(D551&gt;=UmbralRegular,"Regular","Bueno")))</f>
        <v/>
      </c>
      <c r="J551" s="11" t="str">
        <f aca="true">IF(COUNTA(A551:F551)=0,"",IF(OR(A551="",B551="",C551="",D551=""),"Faltan datos",IF(G551="","AP no está en el catálogo",IF(A551&gt;TODAY()+1,"Fecha futura",IF(OR(D551&lt;0,D551&lt;&gt;INT(D551)),"Usuarios no válidos",IF(AND(E551&lt;&gt;"",OR(E551&lt;0,E551&gt;1)),"Utilización fuera de 0-100%",IF(COUNTIFS($A$5:$A$604,A551,$B$5:$B$604,B551,$C$5:$C$604,C551)&gt;1,"Fila duplicada","OK")))))))</f>
        <v/>
      </c>
      <c r="K551" s="9"/>
    </row>
    <row r="552" customFormat="false" ht="15" hidden="false" customHeight="false" outlineLevel="0" collapsed="false">
      <c r="A552" s="7"/>
      <c r="B552" s="8"/>
      <c r="C552" s="9"/>
      <c r="D552" s="20"/>
      <c r="E552" s="10"/>
      <c r="F552" s="9"/>
      <c r="G552" s="11" t="str">
        <f aca="false">IF(C552="","",IFERROR(INDEX(Catálogo!$B$5:$B$2000,MATCH(C552,Catálogo!$A$5:$A$2000,0)),""))</f>
        <v/>
      </c>
      <c r="H552" s="11" t="str">
        <f aca="false">IF(C552="","",IFERROR(INDEX(Catálogo!$C$5:$C$2000,MATCH(C552,Catálogo!$A$5:$A$2000,0)),""))</f>
        <v/>
      </c>
      <c r="I552" s="11" t="str">
        <f aca="false">IF(D552="","",IF(D552&gt;UmbralAlarma,"Alarmante",IF(D552&gt;=UmbralRegular,"Regular","Bueno")))</f>
        <v/>
      </c>
      <c r="J552" s="11" t="str">
        <f aca="true">IF(COUNTA(A552:F552)=0,"",IF(OR(A552="",B552="",C552="",D552=""),"Faltan datos",IF(G552="","AP no está en el catálogo",IF(A552&gt;TODAY()+1,"Fecha futura",IF(OR(D552&lt;0,D552&lt;&gt;INT(D552)),"Usuarios no válidos",IF(AND(E552&lt;&gt;"",OR(E552&lt;0,E552&gt;1)),"Utilización fuera de 0-100%",IF(COUNTIFS($A$5:$A$604,A552,$B$5:$B$604,B552,$C$5:$C$604,C552)&gt;1,"Fila duplicada","OK")))))))</f>
        <v/>
      </c>
      <c r="K552" s="9"/>
    </row>
    <row r="553" customFormat="false" ht="15" hidden="false" customHeight="false" outlineLevel="0" collapsed="false">
      <c r="A553" s="7"/>
      <c r="B553" s="8"/>
      <c r="C553" s="9"/>
      <c r="D553" s="20"/>
      <c r="E553" s="10"/>
      <c r="F553" s="9"/>
      <c r="G553" s="11" t="str">
        <f aca="false">IF(C553="","",IFERROR(INDEX(Catálogo!$B$5:$B$2000,MATCH(C553,Catálogo!$A$5:$A$2000,0)),""))</f>
        <v/>
      </c>
      <c r="H553" s="11" t="str">
        <f aca="false">IF(C553="","",IFERROR(INDEX(Catálogo!$C$5:$C$2000,MATCH(C553,Catálogo!$A$5:$A$2000,0)),""))</f>
        <v/>
      </c>
      <c r="I553" s="11" t="str">
        <f aca="false">IF(D553="","",IF(D553&gt;UmbralAlarma,"Alarmante",IF(D553&gt;=UmbralRegular,"Regular","Bueno")))</f>
        <v/>
      </c>
      <c r="J553" s="11" t="str">
        <f aca="true">IF(COUNTA(A553:F553)=0,"",IF(OR(A553="",B553="",C553="",D553=""),"Faltan datos",IF(G553="","AP no está en el catálogo",IF(A553&gt;TODAY()+1,"Fecha futura",IF(OR(D553&lt;0,D553&lt;&gt;INT(D553)),"Usuarios no válidos",IF(AND(E553&lt;&gt;"",OR(E553&lt;0,E553&gt;1)),"Utilización fuera de 0-100%",IF(COUNTIFS($A$5:$A$604,A553,$B$5:$B$604,B553,$C$5:$C$604,C553)&gt;1,"Fila duplicada","OK")))))))</f>
        <v/>
      </c>
      <c r="K553" s="9"/>
    </row>
    <row r="554" customFormat="false" ht="15" hidden="false" customHeight="false" outlineLevel="0" collapsed="false">
      <c r="A554" s="7"/>
      <c r="B554" s="8"/>
      <c r="C554" s="9"/>
      <c r="D554" s="20"/>
      <c r="E554" s="10"/>
      <c r="F554" s="9"/>
      <c r="G554" s="11" t="str">
        <f aca="false">IF(C554="","",IFERROR(INDEX(Catálogo!$B$5:$B$2000,MATCH(C554,Catálogo!$A$5:$A$2000,0)),""))</f>
        <v/>
      </c>
      <c r="H554" s="11" t="str">
        <f aca="false">IF(C554="","",IFERROR(INDEX(Catálogo!$C$5:$C$2000,MATCH(C554,Catálogo!$A$5:$A$2000,0)),""))</f>
        <v/>
      </c>
      <c r="I554" s="11" t="str">
        <f aca="false">IF(D554="","",IF(D554&gt;UmbralAlarma,"Alarmante",IF(D554&gt;=UmbralRegular,"Regular","Bueno")))</f>
        <v/>
      </c>
      <c r="J554" s="11" t="str">
        <f aca="true">IF(COUNTA(A554:F554)=0,"",IF(OR(A554="",B554="",C554="",D554=""),"Faltan datos",IF(G554="","AP no está en el catálogo",IF(A554&gt;TODAY()+1,"Fecha futura",IF(OR(D554&lt;0,D554&lt;&gt;INT(D554)),"Usuarios no válidos",IF(AND(E554&lt;&gt;"",OR(E554&lt;0,E554&gt;1)),"Utilización fuera de 0-100%",IF(COUNTIFS($A$5:$A$604,A554,$B$5:$B$604,B554,$C$5:$C$604,C554)&gt;1,"Fila duplicada","OK")))))))</f>
        <v/>
      </c>
      <c r="K554" s="9"/>
    </row>
    <row r="555" customFormat="false" ht="15" hidden="false" customHeight="false" outlineLevel="0" collapsed="false">
      <c r="A555" s="7"/>
      <c r="B555" s="8"/>
      <c r="C555" s="9"/>
      <c r="D555" s="20"/>
      <c r="E555" s="10"/>
      <c r="F555" s="9"/>
      <c r="G555" s="11" t="str">
        <f aca="false">IF(C555="","",IFERROR(INDEX(Catálogo!$B$5:$B$2000,MATCH(C555,Catálogo!$A$5:$A$2000,0)),""))</f>
        <v/>
      </c>
      <c r="H555" s="11" t="str">
        <f aca="false">IF(C555="","",IFERROR(INDEX(Catálogo!$C$5:$C$2000,MATCH(C555,Catálogo!$A$5:$A$2000,0)),""))</f>
        <v/>
      </c>
      <c r="I555" s="11" t="str">
        <f aca="false">IF(D555="","",IF(D555&gt;UmbralAlarma,"Alarmante",IF(D555&gt;=UmbralRegular,"Regular","Bueno")))</f>
        <v/>
      </c>
      <c r="J555" s="11" t="str">
        <f aca="true">IF(COUNTA(A555:F555)=0,"",IF(OR(A555="",B555="",C555="",D555=""),"Faltan datos",IF(G555="","AP no está en el catálogo",IF(A555&gt;TODAY()+1,"Fecha futura",IF(OR(D555&lt;0,D555&lt;&gt;INT(D555)),"Usuarios no válidos",IF(AND(E555&lt;&gt;"",OR(E555&lt;0,E555&gt;1)),"Utilización fuera de 0-100%",IF(COUNTIFS($A$5:$A$604,A555,$B$5:$B$604,B555,$C$5:$C$604,C555)&gt;1,"Fila duplicada","OK")))))))</f>
        <v/>
      </c>
      <c r="K555" s="9"/>
    </row>
    <row r="556" customFormat="false" ht="15" hidden="false" customHeight="false" outlineLevel="0" collapsed="false">
      <c r="A556" s="7"/>
      <c r="B556" s="8"/>
      <c r="C556" s="9"/>
      <c r="D556" s="20"/>
      <c r="E556" s="10"/>
      <c r="F556" s="9"/>
      <c r="G556" s="11" t="str">
        <f aca="false">IF(C556="","",IFERROR(INDEX(Catálogo!$B$5:$B$2000,MATCH(C556,Catálogo!$A$5:$A$2000,0)),""))</f>
        <v/>
      </c>
      <c r="H556" s="11" t="str">
        <f aca="false">IF(C556="","",IFERROR(INDEX(Catálogo!$C$5:$C$2000,MATCH(C556,Catálogo!$A$5:$A$2000,0)),""))</f>
        <v/>
      </c>
      <c r="I556" s="11" t="str">
        <f aca="false">IF(D556="","",IF(D556&gt;UmbralAlarma,"Alarmante",IF(D556&gt;=UmbralRegular,"Regular","Bueno")))</f>
        <v/>
      </c>
      <c r="J556" s="11" t="str">
        <f aca="true">IF(COUNTA(A556:F556)=0,"",IF(OR(A556="",B556="",C556="",D556=""),"Faltan datos",IF(G556="","AP no está en el catálogo",IF(A556&gt;TODAY()+1,"Fecha futura",IF(OR(D556&lt;0,D556&lt;&gt;INT(D556)),"Usuarios no válidos",IF(AND(E556&lt;&gt;"",OR(E556&lt;0,E556&gt;1)),"Utilización fuera de 0-100%",IF(COUNTIFS($A$5:$A$604,A556,$B$5:$B$604,B556,$C$5:$C$604,C556)&gt;1,"Fila duplicada","OK")))))))</f>
        <v/>
      </c>
      <c r="K556" s="9"/>
    </row>
    <row r="557" customFormat="false" ht="15" hidden="false" customHeight="false" outlineLevel="0" collapsed="false">
      <c r="A557" s="7"/>
      <c r="B557" s="8"/>
      <c r="C557" s="9"/>
      <c r="D557" s="20"/>
      <c r="E557" s="10"/>
      <c r="F557" s="9"/>
      <c r="G557" s="11" t="str">
        <f aca="false">IF(C557="","",IFERROR(INDEX(Catálogo!$B$5:$B$2000,MATCH(C557,Catálogo!$A$5:$A$2000,0)),""))</f>
        <v/>
      </c>
      <c r="H557" s="11" t="str">
        <f aca="false">IF(C557="","",IFERROR(INDEX(Catálogo!$C$5:$C$2000,MATCH(C557,Catálogo!$A$5:$A$2000,0)),""))</f>
        <v/>
      </c>
      <c r="I557" s="11" t="str">
        <f aca="false">IF(D557="","",IF(D557&gt;UmbralAlarma,"Alarmante",IF(D557&gt;=UmbralRegular,"Regular","Bueno")))</f>
        <v/>
      </c>
      <c r="J557" s="11" t="str">
        <f aca="true">IF(COUNTA(A557:F557)=0,"",IF(OR(A557="",B557="",C557="",D557=""),"Faltan datos",IF(G557="","AP no está en el catálogo",IF(A557&gt;TODAY()+1,"Fecha futura",IF(OR(D557&lt;0,D557&lt;&gt;INT(D557)),"Usuarios no válidos",IF(AND(E557&lt;&gt;"",OR(E557&lt;0,E557&gt;1)),"Utilización fuera de 0-100%",IF(COUNTIFS($A$5:$A$604,A557,$B$5:$B$604,B557,$C$5:$C$604,C557)&gt;1,"Fila duplicada","OK")))))))</f>
        <v/>
      </c>
      <c r="K557" s="9"/>
    </row>
    <row r="558" customFormat="false" ht="15" hidden="false" customHeight="false" outlineLevel="0" collapsed="false">
      <c r="A558" s="7"/>
      <c r="B558" s="8"/>
      <c r="C558" s="9"/>
      <c r="D558" s="20"/>
      <c r="E558" s="10"/>
      <c r="F558" s="9"/>
      <c r="G558" s="11" t="str">
        <f aca="false">IF(C558="","",IFERROR(INDEX(Catálogo!$B$5:$B$2000,MATCH(C558,Catálogo!$A$5:$A$2000,0)),""))</f>
        <v/>
      </c>
      <c r="H558" s="11" t="str">
        <f aca="false">IF(C558="","",IFERROR(INDEX(Catálogo!$C$5:$C$2000,MATCH(C558,Catálogo!$A$5:$A$2000,0)),""))</f>
        <v/>
      </c>
      <c r="I558" s="11" t="str">
        <f aca="false">IF(D558="","",IF(D558&gt;UmbralAlarma,"Alarmante",IF(D558&gt;=UmbralRegular,"Regular","Bueno")))</f>
        <v/>
      </c>
      <c r="J558" s="11" t="str">
        <f aca="true">IF(COUNTA(A558:F558)=0,"",IF(OR(A558="",B558="",C558="",D558=""),"Faltan datos",IF(G558="","AP no está en el catálogo",IF(A558&gt;TODAY()+1,"Fecha futura",IF(OR(D558&lt;0,D558&lt;&gt;INT(D558)),"Usuarios no válidos",IF(AND(E558&lt;&gt;"",OR(E558&lt;0,E558&gt;1)),"Utilización fuera de 0-100%",IF(COUNTIFS($A$5:$A$604,A558,$B$5:$B$604,B558,$C$5:$C$604,C558)&gt;1,"Fila duplicada","OK")))))))</f>
        <v/>
      </c>
      <c r="K558" s="9"/>
    </row>
    <row r="559" customFormat="false" ht="15" hidden="false" customHeight="false" outlineLevel="0" collapsed="false">
      <c r="A559" s="7"/>
      <c r="B559" s="8"/>
      <c r="C559" s="9"/>
      <c r="D559" s="20"/>
      <c r="E559" s="10"/>
      <c r="F559" s="9"/>
      <c r="G559" s="11" t="str">
        <f aca="false">IF(C559="","",IFERROR(INDEX(Catálogo!$B$5:$B$2000,MATCH(C559,Catálogo!$A$5:$A$2000,0)),""))</f>
        <v/>
      </c>
      <c r="H559" s="11" t="str">
        <f aca="false">IF(C559="","",IFERROR(INDEX(Catálogo!$C$5:$C$2000,MATCH(C559,Catálogo!$A$5:$A$2000,0)),""))</f>
        <v/>
      </c>
      <c r="I559" s="11" t="str">
        <f aca="false">IF(D559="","",IF(D559&gt;UmbralAlarma,"Alarmante",IF(D559&gt;=UmbralRegular,"Regular","Bueno")))</f>
        <v/>
      </c>
      <c r="J559" s="11" t="str">
        <f aca="true">IF(COUNTA(A559:F559)=0,"",IF(OR(A559="",B559="",C559="",D559=""),"Faltan datos",IF(G559="","AP no está en el catálogo",IF(A559&gt;TODAY()+1,"Fecha futura",IF(OR(D559&lt;0,D559&lt;&gt;INT(D559)),"Usuarios no válidos",IF(AND(E559&lt;&gt;"",OR(E559&lt;0,E559&gt;1)),"Utilización fuera de 0-100%",IF(COUNTIFS($A$5:$A$604,A559,$B$5:$B$604,B559,$C$5:$C$604,C559)&gt;1,"Fila duplicada","OK")))))))</f>
        <v/>
      </c>
      <c r="K559" s="9"/>
    </row>
    <row r="560" customFormat="false" ht="15" hidden="false" customHeight="false" outlineLevel="0" collapsed="false">
      <c r="A560" s="7"/>
      <c r="B560" s="8"/>
      <c r="C560" s="9"/>
      <c r="D560" s="20"/>
      <c r="E560" s="10"/>
      <c r="F560" s="9"/>
      <c r="G560" s="11" t="str">
        <f aca="false">IF(C560="","",IFERROR(INDEX(Catálogo!$B$5:$B$2000,MATCH(C560,Catálogo!$A$5:$A$2000,0)),""))</f>
        <v/>
      </c>
      <c r="H560" s="11" t="str">
        <f aca="false">IF(C560="","",IFERROR(INDEX(Catálogo!$C$5:$C$2000,MATCH(C560,Catálogo!$A$5:$A$2000,0)),""))</f>
        <v/>
      </c>
      <c r="I560" s="11" t="str">
        <f aca="false">IF(D560="","",IF(D560&gt;UmbralAlarma,"Alarmante",IF(D560&gt;=UmbralRegular,"Regular","Bueno")))</f>
        <v/>
      </c>
      <c r="J560" s="11" t="str">
        <f aca="true">IF(COUNTA(A560:F560)=0,"",IF(OR(A560="",B560="",C560="",D560=""),"Faltan datos",IF(G560="","AP no está en el catálogo",IF(A560&gt;TODAY()+1,"Fecha futura",IF(OR(D560&lt;0,D560&lt;&gt;INT(D560)),"Usuarios no válidos",IF(AND(E560&lt;&gt;"",OR(E560&lt;0,E560&gt;1)),"Utilización fuera de 0-100%",IF(COUNTIFS($A$5:$A$604,A560,$B$5:$B$604,B560,$C$5:$C$604,C560)&gt;1,"Fila duplicada","OK")))))))</f>
        <v/>
      </c>
      <c r="K560" s="9"/>
    </row>
    <row r="561" customFormat="false" ht="15" hidden="false" customHeight="false" outlineLevel="0" collapsed="false">
      <c r="A561" s="7"/>
      <c r="B561" s="8"/>
      <c r="C561" s="9"/>
      <c r="D561" s="20"/>
      <c r="E561" s="10"/>
      <c r="F561" s="9"/>
      <c r="G561" s="11" t="str">
        <f aca="false">IF(C561="","",IFERROR(INDEX(Catálogo!$B$5:$B$2000,MATCH(C561,Catálogo!$A$5:$A$2000,0)),""))</f>
        <v/>
      </c>
      <c r="H561" s="11" t="str">
        <f aca="false">IF(C561="","",IFERROR(INDEX(Catálogo!$C$5:$C$2000,MATCH(C561,Catálogo!$A$5:$A$2000,0)),""))</f>
        <v/>
      </c>
      <c r="I561" s="11" t="str">
        <f aca="false">IF(D561="","",IF(D561&gt;UmbralAlarma,"Alarmante",IF(D561&gt;=UmbralRegular,"Regular","Bueno")))</f>
        <v/>
      </c>
      <c r="J561" s="11" t="str">
        <f aca="true">IF(COUNTA(A561:F561)=0,"",IF(OR(A561="",B561="",C561="",D561=""),"Faltan datos",IF(G561="","AP no está en el catálogo",IF(A561&gt;TODAY()+1,"Fecha futura",IF(OR(D561&lt;0,D561&lt;&gt;INT(D561)),"Usuarios no válidos",IF(AND(E561&lt;&gt;"",OR(E561&lt;0,E561&gt;1)),"Utilización fuera de 0-100%",IF(COUNTIFS($A$5:$A$604,A561,$B$5:$B$604,B561,$C$5:$C$604,C561)&gt;1,"Fila duplicada","OK")))))))</f>
        <v/>
      </c>
      <c r="K561" s="9"/>
    </row>
    <row r="562" customFormat="false" ht="15" hidden="false" customHeight="false" outlineLevel="0" collapsed="false">
      <c r="A562" s="7"/>
      <c r="B562" s="8"/>
      <c r="C562" s="9"/>
      <c r="D562" s="20"/>
      <c r="E562" s="10"/>
      <c r="F562" s="9"/>
      <c r="G562" s="11" t="str">
        <f aca="false">IF(C562="","",IFERROR(INDEX(Catálogo!$B$5:$B$2000,MATCH(C562,Catálogo!$A$5:$A$2000,0)),""))</f>
        <v/>
      </c>
      <c r="H562" s="11" t="str">
        <f aca="false">IF(C562="","",IFERROR(INDEX(Catálogo!$C$5:$C$2000,MATCH(C562,Catálogo!$A$5:$A$2000,0)),""))</f>
        <v/>
      </c>
      <c r="I562" s="11" t="str">
        <f aca="false">IF(D562="","",IF(D562&gt;UmbralAlarma,"Alarmante",IF(D562&gt;=UmbralRegular,"Regular","Bueno")))</f>
        <v/>
      </c>
      <c r="J562" s="11" t="str">
        <f aca="true">IF(COUNTA(A562:F562)=0,"",IF(OR(A562="",B562="",C562="",D562=""),"Faltan datos",IF(G562="","AP no está en el catálogo",IF(A562&gt;TODAY()+1,"Fecha futura",IF(OR(D562&lt;0,D562&lt;&gt;INT(D562)),"Usuarios no válidos",IF(AND(E562&lt;&gt;"",OR(E562&lt;0,E562&gt;1)),"Utilización fuera de 0-100%",IF(COUNTIFS($A$5:$A$604,A562,$B$5:$B$604,B562,$C$5:$C$604,C562)&gt;1,"Fila duplicada","OK")))))))</f>
        <v/>
      </c>
      <c r="K562" s="9"/>
    </row>
    <row r="563" customFormat="false" ht="15" hidden="false" customHeight="false" outlineLevel="0" collapsed="false">
      <c r="A563" s="7"/>
      <c r="B563" s="8"/>
      <c r="C563" s="9"/>
      <c r="D563" s="20"/>
      <c r="E563" s="10"/>
      <c r="F563" s="9"/>
      <c r="G563" s="11" t="str">
        <f aca="false">IF(C563="","",IFERROR(INDEX(Catálogo!$B$5:$B$2000,MATCH(C563,Catálogo!$A$5:$A$2000,0)),""))</f>
        <v/>
      </c>
      <c r="H563" s="11" t="str">
        <f aca="false">IF(C563="","",IFERROR(INDEX(Catálogo!$C$5:$C$2000,MATCH(C563,Catálogo!$A$5:$A$2000,0)),""))</f>
        <v/>
      </c>
      <c r="I563" s="11" t="str">
        <f aca="false">IF(D563="","",IF(D563&gt;UmbralAlarma,"Alarmante",IF(D563&gt;=UmbralRegular,"Regular","Bueno")))</f>
        <v/>
      </c>
      <c r="J563" s="11" t="str">
        <f aca="true">IF(COUNTA(A563:F563)=0,"",IF(OR(A563="",B563="",C563="",D563=""),"Faltan datos",IF(G563="","AP no está en el catálogo",IF(A563&gt;TODAY()+1,"Fecha futura",IF(OR(D563&lt;0,D563&lt;&gt;INT(D563)),"Usuarios no válidos",IF(AND(E563&lt;&gt;"",OR(E563&lt;0,E563&gt;1)),"Utilización fuera de 0-100%",IF(COUNTIFS($A$5:$A$604,A563,$B$5:$B$604,B563,$C$5:$C$604,C563)&gt;1,"Fila duplicada","OK")))))))</f>
        <v/>
      </c>
      <c r="K563" s="9"/>
    </row>
    <row r="564" customFormat="false" ht="15" hidden="false" customHeight="false" outlineLevel="0" collapsed="false">
      <c r="A564" s="7"/>
      <c r="B564" s="8"/>
      <c r="C564" s="9"/>
      <c r="D564" s="20"/>
      <c r="E564" s="10"/>
      <c r="F564" s="9"/>
      <c r="G564" s="11" t="str">
        <f aca="false">IF(C564="","",IFERROR(INDEX(Catálogo!$B$5:$B$2000,MATCH(C564,Catálogo!$A$5:$A$2000,0)),""))</f>
        <v/>
      </c>
      <c r="H564" s="11" t="str">
        <f aca="false">IF(C564="","",IFERROR(INDEX(Catálogo!$C$5:$C$2000,MATCH(C564,Catálogo!$A$5:$A$2000,0)),""))</f>
        <v/>
      </c>
      <c r="I564" s="11" t="str">
        <f aca="false">IF(D564="","",IF(D564&gt;UmbralAlarma,"Alarmante",IF(D564&gt;=UmbralRegular,"Regular","Bueno")))</f>
        <v/>
      </c>
      <c r="J564" s="11" t="str">
        <f aca="true">IF(COUNTA(A564:F564)=0,"",IF(OR(A564="",B564="",C564="",D564=""),"Faltan datos",IF(G564="","AP no está en el catálogo",IF(A564&gt;TODAY()+1,"Fecha futura",IF(OR(D564&lt;0,D564&lt;&gt;INT(D564)),"Usuarios no válidos",IF(AND(E564&lt;&gt;"",OR(E564&lt;0,E564&gt;1)),"Utilización fuera de 0-100%",IF(COUNTIFS($A$5:$A$604,A564,$B$5:$B$604,B564,$C$5:$C$604,C564)&gt;1,"Fila duplicada","OK")))))))</f>
        <v/>
      </c>
      <c r="K564" s="9"/>
    </row>
    <row r="565" customFormat="false" ht="15" hidden="false" customHeight="false" outlineLevel="0" collapsed="false">
      <c r="A565" s="7"/>
      <c r="B565" s="8"/>
      <c r="C565" s="9"/>
      <c r="D565" s="20"/>
      <c r="E565" s="10"/>
      <c r="F565" s="9"/>
      <c r="G565" s="11" t="str">
        <f aca="false">IF(C565="","",IFERROR(INDEX(Catálogo!$B$5:$B$2000,MATCH(C565,Catálogo!$A$5:$A$2000,0)),""))</f>
        <v/>
      </c>
      <c r="H565" s="11" t="str">
        <f aca="false">IF(C565="","",IFERROR(INDEX(Catálogo!$C$5:$C$2000,MATCH(C565,Catálogo!$A$5:$A$2000,0)),""))</f>
        <v/>
      </c>
      <c r="I565" s="11" t="str">
        <f aca="false">IF(D565="","",IF(D565&gt;UmbralAlarma,"Alarmante",IF(D565&gt;=UmbralRegular,"Regular","Bueno")))</f>
        <v/>
      </c>
      <c r="J565" s="11" t="str">
        <f aca="true">IF(COUNTA(A565:F565)=0,"",IF(OR(A565="",B565="",C565="",D565=""),"Faltan datos",IF(G565="","AP no está en el catálogo",IF(A565&gt;TODAY()+1,"Fecha futura",IF(OR(D565&lt;0,D565&lt;&gt;INT(D565)),"Usuarios no válidos",IF(AND(E565&lt;&gt;"",OR(E565&lt;0,E565&gt;1)),"Utilización fuera de 0-100%",IF(COUNTIFS($A$5:$A$604,A565,$B$5:$B$604,B565,$C$5:$C$604,C565)&gt;1,"Fila duplicada","OK")))))))</f>
        <v/>
      </c>
      <c r="K565" s="9"/>
    </row>
    <row r="566" customFormat="false" ht="15" hidden="false" customHeight="false" outlineLevel="0" collapsed="false">
      <c r="A566" s="7"/>
      <c r="B566" s="8"/>
      <c r="C566" s="9"/>
      <c r="D566" s="20"/>
      <c r="E566" s="10"/>
      <c r="F566" s="9"/>
      <c r="G566" s="11" t="str">
        <f aca="false">IF(C566="","",IFERROR(INDEX(Catálogo!$B$5:$B$2000,MATCH(C566,Catálogo!$A$5:$A$2000,0)),""))</f>
        <v/>
      </c>
      <c r="H566" s="11" t="str">
        <f aca="false">IF(C566="","",IFERROR(INDEX(Catálogo!$C$5:$C$2000,MATCH(C566,Catálogo!$A$5:$A$2000,0)),""))</f>
        <v/>
      </c>
      <c r="I566" s="11" t="str">
        <f aca="false">IF(D566="","",IF(D566&gt;UmbralAlarma,"Alarmante",IF(D566&gt;=UmbralRegular,"Regular","Bueno")))</f>
        <v/>
      </c>
      <c r="J566" s="11" t="str">
        <f aca="true">IF(COUNTA(A566:F566)=0,"",IF(OR(A566="",B566="",C566="",D566=""),"Faltan datos",IF(G566="","AP no está en el catálogo",IF(A566&gt;TODAY()+1,"Fecha futura",IF(OR(D566&lt;0,D566&lt;&gt;INT(D566)),"Usuarios no válidos",IF(AND(E566&lt;&gt;"",OR(E566&lt;0,E566&gt;1)),"Utilización fuera de 0-100%",IF(COUNTIFS($A$5:$A$604,A566,$B$5:$B$604,B566,$C$5:$C$604,C566)&gt;1,"Fila duplicada","OK")))))))</f>
        <v/>
      </c>
      <c r="K566" s="9"/>
    </row>
    <row r="567" customFormat="false" ht="15" hidden="false" customHeight="false" outlineLevel="0" collapsed="false">
      <c r="A567" s="7"/>
      <c r="B567" s="8"/>
      <c r="C567" s="9"/>
      <c r="D567" s="20"/>
      <c r="E567" s="10"/>
      <c r="F567" s="9"/>
      <c r="G567" s="11" t="str">
        <f aca="false">IF(C567="","",IFERROR(INDEX(Catálogo!$B$5:$B$2000,MATCH(C567,Catálogo!$A$5:$A$2000,0)),""))</f>
        <v/>
      </c>
      <c r="H567" s="11" t="str">
        <f aca="false">IF(C567="","",IFERROR(INDEX(Catálogo!$C$5:$C$2000,MATCH(C567,Catálogo!$A$5:$A$2000,0)),""))</f>
        <v/>
      </c>
      <c r="I567" s="11" t="str">
        <f aca="false">IF(D567="","",IF(D567&gt;UmbralAlarma,"Alarmante",IF(D567&gt;=UmbralRegular,"Regular","Bueno")))</f>
        <v/>
      </c>
      <c r="J567" s="11" t="str">
        <f aca="true">IF(COUNTA(A567:F567)=0,"",IF(OR(A567="",B567="",C567="",D567=""),"Faltan datos",IF(G567="","AP no está en el catálogo",IF(A567&gt;TODAY()+1,"Fecha futura",IF(OR(D567&lt;0,D567&lt;&gt;INT(D567)),"Usuarios no válidos",IF(AND(E567&lt;&gt;"",OR(E567&lt;0,E567&gt;1)),"Utilización fuera de 0-100%",IF(COUNTIFS($A$5:$A$604,A567,$B$5:$B$604,B567,$C$5:$C$604,C567)&gt;1,"Fila duplicada","OK")))))))</f>
        <v/>
      </c>
      <c r="K567" s="9"/>
    </row>
    <row r="568" customFormat="false" ht="15" hidden="false" customHeight="false" outlineLevel="0" collapsed="false">
      <c r="A568" s="7"/>
      <c r="B568" s="8"/>
      <c r="C568" s="9"/>
      <c r="D568" s="20"/>
      <c r="E568" s="10"/>
      <c r="F568" s="9"/>
      <c r="G568" s="11" t="str">
        <f aca="false">IF(C568="","",IFERROR(INDEX(Catálogo!$B$5:$B$2000,MATCH(C568,Catálogo!$A$5:$A$2000,0)),""))</f>
        <v/>
      </c>
      <c r="H568" s="11" t="str">
        <f aca="false">IF(C568="","",IFERROR(INDEX(Catálogo!$C$5:$C$2000,MATCH(C568,Catálogo!$A$5:$A$2000,0)),""))</f>
        <v/>
      </c>
      <c r="I568" s="11" t="str">
        <f aca="false">IF(D568="","",IF(D568&gt;UmbralAlarma,"Alarmante",IF(D568&gt;=UmbralRegular,"Regular","Bueno")))</f>
        <v/>
      </c>
      <c r="J568" s="11" t="str">
        <f aca="true">IF(COUNTA(A568:F568)=0,"",IF(OR(A568="",B568="",C568="",D568=""),"Faltan datos",IF(G568="","AP no está en el catálogo",IF(A568&gt;TODAY()+1,"Fecha futura",IF(OR(D568&lt;0,D568&lt;&gt;INT(D568)),"Usuarios no válidos",IF(AND(E568&lt;&gt;"",OR(E568&lt;0,E568&gt;1)),"Utilización fuera de 0-100%",IF(COUNTIFS($A$5:$A$604,A568,$B$5:$B$604,B568,$C$5:$C$604,C568)&gt;1,"Fila duplicada","OK")))))))</f>
        <v/>
      </c>
      <c r="K568" s="9"/>
    </row>
    <row r="569" customFormat="false" ht="15" hidden="false" customHeight="false" outlineLevel="0" collapsed="false">
      <c r="A569" s="7"/>
      <c r="B569" s="8"/>
      <c r="C569" s="9"/>
      <c r="D569" s="20"/>
      <c r="E569" s="10"/>
      <c r="F569" s="9"/>
      <c r="G569" s="11" t="str">
        <f aca="false">IF(C569="","",IFERROR(INDEX(Catálogo!$B$5:$B$2000,MATCH(C569,Catálogo!$A$5:$A$2000,0)),""))</f>
        <v/>
      </c>
      <c r="H569" s="11" t="str">
        <f aca="false">IF(C569="","",IFERROR(INDEX(Catálogo!$C$5:$C$2000,MATCH(C569,Catálogo!$A$5:$A$2000,0)),""))</f>
        <v/>
      </c>
      <c r="I569" s="11" t="str">
        <f aca="false">IF(D569="","",IF(D569&gt;UmbralAlarma,"Alarmante",IF(D569&gt;=UmbralRegular,"Regular","Bueno")))</f>
        <v/>
      </c>
      <c r="J569" s="11" t="str">
        <f aca="true">IF(COUNTA(A569:F569)=0,"",IF(OR(A569="",B569="",C569="",D569=""),"Faltan datos",IF(G569="","AP no está en el catálogo",IF(A569&gt;TODAY()+1,"Fecha futura",IF(OR(D569&lt;0,D569&lt;&gt;INT(D569)),"Usuarios no válidos",IF(AND(E569&lt;&gt;"",OR(E569&lt;0,E569&gt;1)),"Utilización fuera de 0-100%",IF(COUNTIFS($A$5:$A$604,A569,$B$5:$B$604,B569,$C$5:$C$604,C569)&gt;1,"Fila duplicada","OK")))))))</f>
        <v/>
      </c>
      <c r="K569" s="9"/>
    </row>
    <row r="570" customFormat="false" ht="15" hidden="false" customHeight="false" outlineLevel="0" collapsed="false">
      <c r="A570" s="7"/>
      <c r="B570" s="8"/>
      <c r="C570" s="9"/>
      <c r="D570" s="20"/>
      <c r="E570" s="10"/>
      <c r="F570" s="9"/>
      <c r="G570" s="11" t="str">
        <f aca="false">IF(C570="","",IFERROR(INDEX(Catálogo!$B$5:$B$2000,MATCH(C570,Catálogo!$A$5:$A$2000,0)),""))</f>
        <v/>
      </c>
      <c r="H570" s="11" t="str">
        <f aca="false">IF(C570="","",IFERROR(INDEX(Catálogo!$C$5:$C$2000,MATCH(C570,Catálogo!$A$5:$A$2000,0)),""))</f>
        <v/>
      </c>
      <c r="I570" s="11" t="str">
        <f aca="false">IF(D570="","",IF(D570&gt;UmbralAlarma,"Alarmante",IF(D570&gt;=UmbralRegular,"Regular","Bueno")))</f>
        <v/>
      </c>
      <c r="J570" s="11" t="str">
        <f aca="true">IF(COUNTA(A570:F570)=0,"",IF(OR(A570="",B570="",C570="",D570=""),"Faltan datos",IF(G570="","AP no está en el catálogo",IF(A570&gt;TODAY()+1,"Fecha futura",IF(OR(D570&lt;0,D570&lt;&gt;INT(D570)),"Usuarios no válidos",IF(AND(E570&lt;&gt;"",OR(E570&lt;0,E570&gt;1)),"Utilización fuera de 0-100%",IF(COUNTIFS($A$5:$A$604,A570,$B$5:$B$604,B570,$C$5:$C$604,C570)&gt;1,"Fila duplicada","OK")))))))</f>
        <v/>
      </c>
      <c r="K570" s="9"/>
    </row>
    <row r="571" customFormat="false" ht="15" hidden="false" customHeight="false" outlineLevel="0" collapsed="false">
      <c r="A571" s="7"/>
      <c r="B571" s="8"/>
      <c r="C571" s="9"/>
      <c r="D571" s="20"/>
      <c r="E571" s="10"/>
      <c r="F571" s="9"/>
      <c r="G571" s="11" t="str">
        <f aca="false">IF(C571="","",IFERROR(INDEX(Catálogo!$B$5:$B$2000,MATCH(C571,Catálogo!$A$5:$A$2000,0)),""))</f>
        <v/>
      </c>
      <c r="H571" s="11" t="str">
        <f aca="false">IF(C571="","",IFERROR(INDEX(Catálogo!$C$5:$C$2000,MATCH(C571,Catálogo!$A$5:$A$2000,0)),""))</f>
        <v/>
      </c>
      <c r="I571" s="11" t="str">
        <f aca="false">IF(D571="","",IF(D571&gt;UmbralAlarma,"Alarmante",IF(D571&gt;=UmbralRegular,"Regular","Bueno")))</f>
        <v/>
      </c>
      <c r="J571" s="11" t="str">
        <f aca="true">IF(COUNTA(A571:F571)=0,"",IF(OR(A571="",B571="",C571="",D571=""),"Faltan datos",IF(G571="","AP no está en el catálogo",IF(A571&gt;TODAY()+1,"Fecha futura",IF(OR(D571&lt;0,D571&lt;&gt;INT(D571)),"Usuarios no válidos",IF(AND(E571&lt;&gt;"",OR(E571&lt;0,E571&gt;1)),"Utilización fuera de 0-100%",IF(COUNTIFS($A$5:$A$604,A571,$B$5:$B$604,B571,$C$5:$C$604,C571)&gt;1,"Fila duplicada","OK")))))))</f>
        <v/>
      </c>
      <c r="K571" s="9"/>
    </row>
    <row r="572" customFormat="false" ht="15" hidden="false" customHeight="false" outlineLevel="0" collapsed="false">
      <c r="A572" s="7"/>
      <c r="B572" s="8"/>
      <c r="C572" s="9"/>
      <c r="D572" s="20"/>
      <c r="E572" s="10"/>
      <c r="F572" s="9"/>
      <c r="G572" s="11" t="str">
        <f aca="false">IF(C572="","",IFERROR(INDEX(Catálogo!$B$5:$B$2000,MATCH(C572,Catálogo!$A$5:$A$2000,0)),""))</f>
        <v/>
      </c>
      <c r="H572" s="11" t="str">
        <f aca="false">IF(C572="","",IFERROR(INDEX(Catálogo!$C$5:$C$2000,MATCH(C572,Catálogo!$A$5:$A$2000,0)),""))</f>
        <v/>
      </c>
      <c r="I572" s="11" t="str">
        <f aca="false">IF(D572="","",IF(D572&gt;UmbralAlarma,"Alarmante",IF(D572&gt;=UmbralRegular,"Regular","Bueno")))</f>
        <v/>
      </c>
      <c r="J572" s="11" t="str">
        <f aca="true">IF(COUNTA(A572:F572)=0,"",IF(OR(A572="",B572="",C572="",D572=""),"Faltan datos",IF(G572="","AP no está en el catálogo",IF(A572&gt;TODAY()+1,"Fecha futura",IF(OR(D572&lt;0,D572&lt;&gt;INT(D572)),"Usuarios no válidos",IF(AND(E572&lt;&gt;"",OR(E572&lt;0,E572&gt;1)),"Utilización fuera de 0-100%",IF(COUNTIFS($A$5:$A$604,A572,$B$5:$B$604,B572,$C$5:$C$604,C572)&gt;1,"Fila duplicada","OK")))))))</f>
        <v/>
      </c>
      <c r="K572" s="9"/>
    </row>
    <row r="573" customFormat="false" ht="15" hidden="false" customHeight="false" outlineLevel="0" collapsed="false">
      <c r="A573" s="7"/>
      <c r="B573" s="8"/>
      <c r="C573" s="9"/>
      <c r="D573" s="20"/>
      <c r="E573" s="10"/>
      <c r="F573" s="9"/>
      <c r="G573" s="11" t="str">
        <f aca="false">IF(C573="","",IFERROR(INDEX(Catálogo!$B$5:$B$2000,MATCH(C573,Catálogo!$A$5:$A$2000,0)),""))</f>
        <v/>
      </c>
      <c r="H573" s="11" t="str">
        <f aca="false">IF(C573="","",IFERROR(INDEX(Catálogo!$C$5:$C$2000,MATCH(C573,Catálogo!$A$5:$A$2000,0)),""))</f>
        <v/>
      </c>
      <c r="I573" s="11" t="str">
        <f aca="false">IF(D573="","",IF(D573&gt;UmbralAlarma,"Alarmante",IF(D573&gt;=UmbralRegular,"Regular","Bueno")))</f>
        <v/>
      </c>
      <c r="J573" s="11" t="str">
        <f aca="true">IF(COUNTA(A573:F573)=0,"",IF(OR(A573="",B573="",C573="",D573=""),"Faltan datos",IF(G573="","AP no está en el catálogo",IF(A573&gt;TODAY()+1,"Fecha futura",IF(OR(D573&lt;0,D573&lt;&gt;INT(D573)),"Usuarios no válidos",IF(AND(E573&lt;&gt;"",OR(E573&lt;0,E573&gt;1)),"Utilización fuera de 0-100%",IF(COUNTIFS($A$5:$A$604,A573,$B$5:$B$604,B573,$C$5:$C$604,C573)&gt;1,"Fila duplicada","OK")))))))</f>
        <v/>
      </c>
      <c r="K573" s="9"/>
    </row>
    <row r="574" customFormat="false" ht="15" hidden="false" customHeight="false" outlineLevel="0" collapsed="false">
      <c r="A574" s="7"/>
      <c r="B574" s="8"/>
      <c r="C574" s="9"/>
      <c r="D574" s="20"/>
      <c r="E574" s="10"/>
      <c r="F574" s="9"/>
      <c r="G574" s="11" t="str">
        <f aca="false">IF(C574="","",IFERROR(INDEX(Catálogo!$B$5:$B$2000,MATCH(C574,Catálogo!$A$5:$A$2000,0)),""))</f>
        <v/>
      </c>
      <c r="H574" s="11" t="str">
        <f aca="false">IF(C574="","",IFERROR(INDEX(Catálogo!$C$5:$C$2000,MATCH(C574,Catálogo!$A$5:$A$2000,0)),""))</f>
        <v/>
      </c>
      <c r="I574" s="11" t="str">
        <f aca="false">IF(D574="","",IF(D574&gt;UmbralAlarma,"Alarmante",IF(D574&gt;=UmbralRegular,"Regular","Bueno")))</f>
        <v/>
      </c>
      <c r="J574" s="11" t="str">
        <f aca="true">IF(COUNTA(A574:F574)=0,"",IF(OR(A574="",B574="",C574="",D574=""),"Faltan datos",IF(G574="","AP no está en el catálogo",IF(A574&gt;TODAY()+1,"Fecha futura",IF(OR(D574&lt;0,D574&lt;&gt;INT(D574)),"Usuarios no válidos",IF(AND(E574&lt;&gt;"",OR(E574&lt;0,E574&gt;1)),"Utilización fuera de 0-100%",IF(COUNTIFS($A$5:$A$604,A574,$B$5:$B$604,B574,$C$5:$C$604,C574)&gt;1,"Fila duplicada","OK")))))))</f>
        <v/>
      </c>
      <c r="K574" s="9"/>
    </row>
    <row r="575" customFormat="false" ht="15" hidden="false" customHeight="false" outlineLevel="0" collapsed="false">
      <c r="A575" s="7"/>
      <c r="B575" s="8"/>
      <c r="C575" s="9"/>
      <c r="D575" s="20"/>
      <c r="E575" s="10"/>
      <c r="F575" s="9"/>
      <c r="G575" s="11" t="str">
        <f aca="false">IF(C575="","",IFERROR(INDEX(Catálogo!$B$5:$B$2000,MATCH(C575,Catálogo!$A$5:$A$2000,0)),""))</f>
        <v/>
      </c>
      <c r="H575" s="11" t="str">
        <f aca="false">IF(C575="","",IFERROR(INDEX(Catálogo!$C$5:$C$2000,MATCH(C575,Catálogo!$A$5:$A$2000,0)),""))</f>
        <v/>
      </c>
      <c r="I575" s="11" t="str">
        <f aca="false">IF(D575="","",IF(D575&gt;UmbralAlarma,"Alarmante",IF(D575&gt;=UmbralRegular,"Regular","Bueno")))</f>
        <v/>
      </c>
      <c r="J575" s="11" t="str">
        <f aca="true">IF(COUNTA(A575:F575)=0,"",IF(OR(A575="",B575="",C575="",D575=""),"Faltan datos",IF(G575="","AP no está en el catálogo",IF(A575&gt;TODAY()+1,"Fecha futura",IF(OR(D575&lt;0,D575&lt;&gt;INT(D575)),"Usuarios no válidos",IF(AND(E575&lt;&gt;"",OR(E575&lt;0,E575&gt;1)),"Utilización fuera de 0-100%",IF(COUNTIFS($A$5:$A$604,A575,$B$5:$B$604,B575,$C$5:$C$604,C575)&gt;1,"Fila duplicada","OK")))))))</f>
        <v/>
      </c>
      <c r="K575" s="9"/>
    </row>
    <row r="576" customFormat="false" ht="15" hidden="false" customHeight="false" outlineLevel="0" collapsed="false">
      <c r="A576" s="7"/>
      <c r="B576" s="8"/>
      <c r="C576" s="9"/>
      <c r="D576" s="20"/>
      <c r="E576" s="10"/>
      <c r="F576" s="9"/>
      <c r="G576" s="11" t="str">
        <f aca="false">IF(C576="","",IFERROR(INDEX(Catálogo!$B$5:$B$2000,MATCH(C576,Catálogo!$A$5:$A$2000,0)),""))</f>
        <v/>
      </c>
      <c r="H576" s="11" t="str">
        <f aca="false">IF(C576="","",IFERROR(INDEX(Catálogo!$C$5:$C$2000,MATCH(C576,Catálogo!$A$5:$A$2000,0)),""))</f>
        <v/>
      </c>
      <c r="I576" s="11" t="str">
        <f aca="false">IF(D576="","",IF(D576&gt;UmbralAlarma,"Alarmante",IF(D576&gt;=UmbralRegular,"Regular","Bueno")))</f>
        <v/>
      </c>
      <c r="J576" s="11" t="str">
        <f aca="true">IF(COUNTA(A576:F576)=0,"",IF(OR(A576="",B576="",C576="",D576=""),"Faltan datos",IF(G576="","AP no está en el catálogo",IF(A576&gt;TODAY()+1,"Fecha futura",IF(OR(D576&lt;0,D576&lt;&gt;INT(D576)),"Usuarios no válidos",IF(AND(E576&lt;&gt;"",OR(E576&lt;0,E576&gt;1)),"Utilización fuera de 0-100%",IF(COUNTIFS($A$5:$A$604,A576,$B$5:$B$604,B576,$C$5:$C$604,C576)&gt;1,"Fila duplicada","OK")))))))</f>
        <v/>
      </c>
      <c r="K576" s="9"/>
    </row>
    <row r="577" customFormat="false" ht="15" hidden="false" customHeight="false" outlineLevel="0" collapsed="false">
      <c r="A577" s="7"/>
      <c r="B577" s="8"/>
      <c r="C577" s="9"/>
      <c r="D577" s="20"/>
      <c r="E577" s="10"/>
      <c r="F577" s="9"/>
      <c r="G577" s="11" t="str">
        <f aca="false">IF(C577="","",IFERROR(INDEX(Catálogo!$B$5:$B$2000,MATCH(C577,Catálogo!$A$5:$A$2000,0)),""))</f>
        <v/>
      </c>
      <c r="H577" s="11" t="str">
        <f aca="false">IF(C577="","",IFERROR(INDEX(Catálogo!$C$5:$C$2000,MATCH(C577,Catálogo!$A$5:$A$2000,0)),""))</f>
        <v/>
      </c>
      <c r="I577" s="11" t="str">
        <f aca="false">IF(D577="","",IF(D577&gt;UmbralAlarma,"Alarmante",IF(D577&gt;=UmbralRegular,"Regular","Bueno")))</f>
        <v/>
      </c>
      <c r="J577" s="11" t="str">
        <f aca="true">IF(COUNTA(A577:F577)=0,"",IF(OR(A577="",B577="",C577="",D577=""),"Faltan datos",IF(G577="","AP no está en el catálogo",IF(A577&gt;TODAY()+1,"Fecha futura",IF(OR(D577&lt;0,D577&lt;&gt;INT(D577)),"Usuarios no válidos",IF(AND(E577&lt;&gt;"",OR(E577&lt;0,E577&gt;1)),"Utilización fuera de 0-100%",IF(COUNTIFS($A$5:$A$604,A577,$B$5:$B$604,B577,$C$5:$C$604,C577)&gt;1,"Fila duplicada","OK")))))))</f>
        <v/>
      </c>
      <c r="K577" s="9"/>
    </row>
    <row r="578" customFormat="false" ht="15" hidden="false" customHeight="false" outlineLevel="0" collapsed="false">
      <c r="A578" s="7"/>
      <c r="B578" s="8"/>
      <c r="C578" s="9"/>
      <c r="D578" s="20"/>
      <c r="E578" s="10"/>
      <c r="F578" s="9"/>
      <c r="G578" s="11" t="str">
        <f aca="false">IF(C578="","",IFERROR(INDEX(Catálogo!$B$5:$B$2000,MATCH(C578,Catálogo!$A$5:$A$2000,0)),""))</f>
        <v/>
      </c>
      <c r="H578" s="11" t="str">
        <f aca="false">IF(C578="","",IFERROR(INDEX(Catálogo!$C$5:$C$2000,MATCH(C578,Catálogo!$A$5:$A$2000,0)),""))</f>
        <v/>
      </c>
      <c r="I578" s="11" t="str">
        <f aca="false">IF(D578="","",IF(D578&gt;UmbralAlarma,"Alarmante",IF(D578&gt;=UmbralRegular,"Regular","Bueno")))</f>
        <v/>
      </c>
      <c r="J578" s="11" t="str">
        <f aca="true">IF(COUNTA(A578:F578)=0,"",IF(OR(A578="",B578="",C578="",D578=""),"Faltan datos",IF(G578="","AP no está en el catálogo",IF(A578&gt;TODAY()+1,"Fecha futura",IF(OR(D578&lt;0,D578&lt;&gt;INT(D578)),"Usuarios no válidos",IF(AND(E578&lt;&gt;"",OR(E578&lt;0,E578&gt;1)),"Utilización fuera de 0-100%",IF(COUNTIFS($A$5:$A$604,A578,$B$5:$B$604,B578,$C$5:$C$604,C578)&gt;1,"Fila duplicada","OK")))))))</f>
        <v/>
      </c>
      <c r="K578" s="9"/>
    </row>
    <row r="579" customFormat="false" ht="15" hidden="false" customHeight="false" outlineLevel="0" collapsed="false">
      <c r="A579" s="7"/>
      <c r="B579" s="8"/>
      <c r="C579" s="9"/>
      <c r="D579" s="20"/>
      <c r="E579" s="10"/>
      <c r="F579" s="9"/>
      <c r="G579" s="11" t="str">
        <f aca="false">IF(C579="","",IFERROR(INDEX(Catálogo!$B$5:$B$2000,MATCH(C579,Catálogo!$A$5:$A$2000,0)),""))</f>
        <v/>
      </c>
      <c r="H579" s="11" t="str">
        <f aca="false">IF(C579="","",IFERROR(INDEX(Catálogo!$C$5:$C$2000,MATCH(C579,Catálogo!$A$5:$A$2000,0)),""))</f>
        <v/>
      </c>
      <c r="I579" s="11" t="str">
        <f aca="false">IF(D579="","",IF(D579&gt;UmbralAlarma,"Alarmante",IF(D579&gt;=UmbralRegular,"Regular","Bueno")))</f>
        <v/>
      </c>
      <c r="J579" s="11" t="str">
        <f aca="true">IF(COUNTA(A579:F579)=0,"",IF(OR(A579="",B579="",C579="",D579=""),"Faltan datos",IF(G579="","AP no está en el catálogo",IF(A579&gt;TODAY()+1,"Fecha futura",IF(OR(D579&lt;0,D579&lt;&gt;INT(D579)),"Usuarios no válidos",IF(AND(E579&lt;&gt;"",OR(E579&lt;0,E579&gt;1)),"Utilización fuera de 0-100%",IF(COUNTIFS($A$5:$A$604,A579,$B$5:$B$604,B579,$C$5:$C$604,C579)&gt;1,"Fila duplicada","OK")))))))</f>
        <v/>
      </c>
      <c r="K579" s="9"/>
    </row>
    <row r="580" customFormat="false" ht="15" hidden="false" customHeight="false" outlineLevel="0" collapsed="false">
      <c r="A580" s="7"/>
      <c r="B580" s="8"/>
      <c r="C580" s="9"/>
      <c r="D580" s="20"/>
      <c r="E580" s="10"/>
      <c r="F580" s="9"/>
      <c r="G580" s="11" t="str">
        <f aca="false">IF(C580="","",IFERROR(INDEX(Catálogo!$B$5:$B$2000,MATCH(C580,Catálogo!$A$5:$A$2000,0)),""))</f>
        <v/>
      </c>
      <c r="H580" s="11" t="str">
        <f aca="false">IF(C580="","",IFERROR(INDEX(Catálogo!$C$5:$C$2000,MATCH(C580,Catálogo!$A$5:$A$2000,0)),""))</f>
        <v/>
      </c>
      <c r="I580" s="11" t="str">
        <f aca="false">IF(D580="","",IF(D580&gt;UmbralAlarma,"Alarmante",IF(D580&gt;=UmbralRegular,"Regular","Bueno")))</f>
        <v/>
      </c>
      <c r="J580" s="11" t="str">
        <f aca="true">IF(COUNTA(A580:F580)=0,"",IF(OR(A580="",B580="",C580="",D580=""),"Faltan datos",IF(G580="","AP no está en el catálogo",IF(A580&gt;TODAY()+1,"Fecha futura",IF(OR(D580&lt;0,D580&lt;&gt;INT(D580)),"Usuarios no válidos",IF(AND(E580&lt;&gt;"",OR(E580&lt;0,E580&gt;1)),"Utilización fuera de 0-100%",IF(COUNTIFS($A$5:$A$604,A580,$B$5:$B$604,B580,$C$5:$C$604,C580)&gt;1,"Fila duplicada","OK")))))))</f>
        <v/>
      </c>
      <c r="K580" s="9"/>
    </row>
    <row r="581" customFormat="false" ht="15" hidden="false" customHeight="false" outlineLevel="0" collapsed="false">
      <c r="A581" s="7"/>
      <c r="B581" s="8"/>
      <c r="C581" s="9"/>
      <c r="D581" s="20"/>
      <c r="E581" s="10"/>
      <c r="F581" s="9"/>
      <c r="G581" s="11" t="str">
        <f aca="false">IF(C581="","",IFERROR(INDEX(Catálogo!$B$5:$B$2000,MATCH(C581,Catálogo!$A$5:$A$2000,0)),""))</f>
        <v/>
      </c>
      <c r="H581" s="11" t="str">
        <f aca="false">IF(C581="","",IFERROR(INDEX(Catálogo!$C$5:$C$2000,MATCH(C581,Catálogo!$A$5:$A$2000,0)),""))</f>
        <v/>
      </c>
      <c r="I581" s="11" t="str">
        <f aca="false">IF(D581="","",IF(D581&gt;UmbralAlarma,"Alarmante",IF(D581&gt;=UmbralRegular,"Regular","Bueno")))</f>
        <v/>
      </c>
      <c r="J581" s="11" t="str">
        <f aca="true">IF(COUNTA(A581:F581)=0,"",IF(OR(A581="",B581="",C581="",D581=""),"Faltan datos",IF(G581="","AP no está en el catálogo",IF(A581&gt;TODAY()+1,"Fecha futura",IF(OR(D581&lt;0,D581&lt;&gt;INT(D581)),"Usuarios no válidos",IF(AND(E581&lt;&gt;"",OR(E581&lt;0,E581&gt;1)),"Utilización fuera de 0-100%",IF(COUNTIFS($A$5:$A$604,A581,$B$5:$B$604,B581,$C$5:$C$604,C581)&gt;1,"Fila duplicada","OK")))))))</f>
        <v/>
      </c>
      <c r="K581" s="9"/>
    </row>
    <row r="582" customFormat="false" ht="15" hidden="false" customHeight="false" outlineLevel="0" collapsed="false">
      <c r="A582" s="7"/>
      <c r="B582" s="8"/>
      <c r="C582" s="9"/>
      <c r="D582" s="20"/>
      <c r="E582" s="10"/>
      <c r="F582" s="9"/>
      <c r="G582" s="11" t="str">
        <f aca="false">IF(C582="","",IFERROR(INDEX(Catálogo!$B$5:$B$2000,MATCH(C582,Catálogo!$A$5:$A$2000,0)),""))</f>
        <v/>
      </c>
      <c r="H582" s="11" t="str">
        <f aca="false">IF(C582="","",IFERROR(INDEX(Catálogo!$C$5:$C$2000,MATCH(C582,Catálogo!$A$5:$A$2000,0)),""))</f>
        <v/>
      </c>
      <c r="I582" s="11" t="str">
        <f aca="false">IF(D582="","",IF(D582&gt;UmbralAlarma,"Alarmante",IF(D582&gt;=UmbralRegular,"Regular","Bueno")))</f>
        <v/>
      </c>
      <c r="J582" s="11" t="str">
        <f aca="true">IF(COUNTA(A582:F582)=0,"",IF(OR(A582="",B582="",C582="",D582=""),"Faltan datos",IF(G582="","AP no está en el catálogo",IF(A582&gt;TODAY()+1,"Fecha futura",IF(OR(D582&lt;0,D582&lt;&gt;INT(D582)),"Usuarios no válidos",IF(AND(E582&lt;&gt;"",OR(E582&lt;0,E582&gt;1)),"Utilización fuera de 0-100%",IF(COUNTIFS($A$5:$A$604,A582,$B$5:$B$604,B582,$C$5:$C$604,C582)&gt;1,"Fila duplicada","OK")))))))</f>
        <v/>
      </c>
      <c r="K582" s="9"/>
    </row>
    <row r="583" customFormat="false" ht="15" hidden="false" customHeight="false" outlineLevel="0" collapsed="false">
      <c r="A583" s="7"/>
      <c r="B583" s="8"/>
      <c r="C583" s="9"/>
      <c r="D583" s="20"/>
      <c r="E583" s="10"/>
      <c r="F583" s="9"/>
      <c r="G583" s="11" t="str">
        <f aca="false">IF(C583="","",IFERROR(INDEX(Catálogo!$B$5:$B$2000,MATCH(C583,Catálogo!$A$5:$A$2000,0)),""))</f>
        <v/>
      </c>
      <c r="H583" s="11" t="str">
        <f aca="false">IF(C583="","",IFERROR(INDEX(Catálogo!$C$5:$C$2000,MATCH(C583,Catálogo!$A$5:$A$2000,0)),""))</f>
        <v/>
      </c>
      <c r="I583" s="11" t="str">
        <f aca="false">IF(D583="","",IF(D583&gt;UmbralAlarma,"Alarmante",IF(D583&gt;=UmbralRegular,"Regular","Bueno")))</f>
        <v/>
      </c>
      <c r="J583" s="11" t="str">
        <f aca="true">IF(COUNTA(A583:F583)=0,"",IF(OR(A583="",B583="",C583="",D583=""),"Faltan datos",IF(G583="","AP no está en el catálogo",IF(A583&gt;TODAY()+1,"Fecha futura",IF(OR(D583&lt;0,D583&lt;&gt;INT(D583)),"Usuarios no válidos",IF(AND(E583&lt;&gt;"",OR(E583&lt;0,E583&gt;1)),"Utilización fuera de 0-100%",IF(COUNTIFS($A$5:$A$604,A583,$B$5:$B$604,B583,$C$5:$C$604,C583)&gt;1,"Fila duplicada","OK")))))))</f>
        <v/>
      </c>
      <c r="K583" s="9"/>
    </row>
    <row r="584" customFormat="false" ht="15" hidden="false" customHeight="false" outlineLevel="0" collapsed="false">
      <c r="A584" s="7"/>
      <c r="B584" s="8"/>
      <c r="C584" s="9"/>
      <c r="D584" s="20"/>
      <c r="E584" s="10"/>
      <c r="F584" s="9"/>
      <c r="G584" s="11" t="str">
        <f aca="false">IF(C584="","",IFERROR(INDEX(Catálogo!$B$5:$B$2000,MATCH(C584,Catálogo!$A$5:$A$2000,0)),""))</f>
        <v/>
      </c>
      <c r="H584" s="11" t="str">
        <f aca="false">IF(C584="","",IFERROR(INDEX(Catálogo!$C$5:$C$2000,MATCH(C584,Catálogo!$A$5:$A$2000,0)),""))</f>
        <v/>
      </c>
      <c r="I584" s="11" t="str">
        <f aca="false">IF(D584="","",IF(D584&gt;UmbralAlarma,"Alarmante",IF(D584&gt;=UmbralRegular,"Regular","Bueno")))</f>
        <v/>
      </c>
      <c r="J584" s="11" t="str">
        <f aca="true">IF(COUNTA(A584:F584)=0,"",IF(OR(A584="",B584="",C584="",D584=""),"Faltan datos",IF(G584="","AP no está en el catálogo",IF(A584&gt;TODAY()+1,"Fecha futura",IF(OR(D584&lt;0,D584&lt;&gt;INT(D584)),"Usuarios no válidos",IF(AND(E584&lt;&gt;"",OR(E584&lt;0,E584&gt;1)),"Utilización fuera de 0-100%",IF(COUNTIFS($A$5:$A$604,A584,$B$5:$B$604,B584,$C$5:$C$604,C584)&gt;1,"Fila duplicada","OK")))))))</f>
        <v/>
      </c>
      <c r="K584" s="9"/>
    </row>
    <row r="585" customFormat="false" ht="15" hidden="false" customHeight="false" outlineLevel="0" collapsed="false">
      <c r="A585" s="7"/>
      <c r="B585" s="8"/>
      <c r="C585" s="9"/>
      <c r="D585" s="20"/>
      <c r="E585" s="10"/>
      <c r="F585" s="9"/>
      <c r="G585" s="11" t="str">
        <f aca="false">IF(C585="","",IFERROR(INDEX(Catálogo!$B$5:$B$2000,MATCH(C585,Catálogo!$A$5:$A$2000,0)),""))</f>
        <v/>
      </c>
      <c r="H585" s="11" t="str">
        <f aca="false">IF(C585="","",IFERROR(INDEX(Catálogo!$C$5:$C$2000,MATCH(C585,Catálogo!$A$5:$A$2000,0)),""))</f>
        <v/>
      </c>
      <c r="I585" s="11" t="str">
        <f aca="false">IF(D585="","",IF(D585&gt;UmbralAlarma,"Alarmante",IF(D585&gt;=UmbralRegular,"Regular","Bueno")))</f>
        <v/>
      </c>
      <c r="J585" s="11" t="str">
        <f aca="true">IF(COUNTA(A585:F585)=0,"",IF(OR(A585="",B585="",C585="",D585=""),"Faltan datos",IF(G585="","AP no está en el catálogo",IF(A585&gt;TODAY()+1,"Fecha futura",IF(OR(D585&lt;0,D585&lt;&gt;INT(D585)),"Usuarios no válidos",IF(AND(E585&lt;&gt;"",OR(E585&lt;0,E585&gt;1)),"Utilización fuera de 0-100%",IF(COUNTIFS($A$5:$A$604,A585,$B$5:$B$604,B585,$C$5:$C$604,C585)&gt;1,"Fila duplicada","OK")))))))</f>
        <v/>
      </c>
      <c r="K585" s="9"/>
    </row>
    <row r="586" customFormat="false" ht="15" hidden="false" customHeight="false" outlineLevel="0" collapsed="false">
      <c r="A586" s="7"/>
      <c r="B586" s="8"/>
      <c r="C586" s="9"/>
      <c r="D586" s="20"/>
      <c r="E586" s="10"/>
      <c r="F586" s="9"/>
      <c r="G586" s="11" t="str">
        <f aca="false">IF(C586="","",IFERROR(INDEX(Catálogo!$B$5:$B$2000,MATCH(C586,Catálogo!$A$5:$A$2000,0)),""))</f>
        <v/>
      </c>
      <c r="H586" s="11" t="str">
        <f aca="false">IF(C586="","",IFERROR(INDEX(Catálogo!$C$5:$C$2000,MATCH(C586,Catálogo!$A$5:$A$2000,0)),""))</f>
        <v/>
      </c>
      <c r="I586" s="11" t="str">
        <f aca="false">IF(D586="","",IF(D586&gt;UmbralAlarma,"Alarmante",IF(D586&gt;=UmbralRegular,"Regular","Bueno")))</f>
        <v/>
      </c>
      <c r="J586" s="11" t="str">
        <f aca="true">IF(COUNTA(A586:F586)=0,"",IF(OR(A586="",B586="",C586="",D586=""),"Faltan datos",IF(G586="","AP no está en el catálogo",IF(A586&gt;TODAY()+1,"Fecha futura",IF(OR(D586&lt;0,D586&lt;&gt;INT(D586)),"Usuarios no válidos",IF(AND(E586&lt;&gt;"",OR(E586&lt;0,E586&gt;1)),"Utilización fuera de 0-100%",IF(COUNTIFS($A$5:$A$604,A586,$B$5:$B$604,B586,$C$5:$C$604,C586)&gt;1,"Fila duplicada","OK")))))))</f>
        <v/>
      </c>
      <c r="K586" s="9"/>
    </row>
    <row r="587" customFormat="false" ht="15" hidden="false" customHeight="false" outlineLevel="0" collapsed="false">
      <c r="A587" s="7"/>
      <c r="B587" s="8"/>
      <c r="C587" s="9"/>
      <c r="D587" s="20"/>
      <c r="E587" s="10"/>
      <c r="F587" s="9"/>
      <c r="G587" s="11" t="str">
        <f aca="false">IF(C587="","",IFERROR(INDEX(Catálogo!$B$5:$B$2000,MATCH(C587,Catálogo!$A$5:$A$2000,0)),""))</f>
        <v/>
      </c>
      <c r="H587" s="11" t="str">
        <f aca="false">IF(C587="","",IFERROR(INDEX(Catálogo!$C$5:$C$2000,MATCH(C587,Catálogo!$A$5:$A$2000,0)),""))</f>
        <v/>
      </c>
      <c r="I587" s="11" t="str">
        <f aca="false">IF(D587="","",IF(D587&gt;UmbralAlarma,"Alarmante",IF(D587&gt;=UmbralRegular,"Regular","Bueno")))</f>
        <v/>
      </c>
      <c r="J587" s="11" t="str">
        <f aca="true">IF(COUNTA(A587:F587)=0,"",IF(OR(A587="",B587="",C587="",D587=""),"Faltan datos",IF(G587="","AP no está en el catálogo",IF(A587&gt;TODAY()+1,"Fecha futura",IF(OR(D587&lt;0,D587&lt;&gt;INT(D587)),"Usuarios no válidos",IF(AND(E587&lt;&gt;"",OR(E587&lt;0,E587&gt;1)),"Utilización fuera de 0-100%",IF(COUNTIFS($A$5:$A$604,A587,$B$5:$B$604,B587,$C$5:$C$604,C587)&gt;1,"Fila duplicada","OK")))))))</f>
        <v/>
      </c>
      <c r="K587" s="9"/>
    </row>
    <row r="588" customFormat="false" ht="15" hidden="false" customHeight="false" outlineLevel="0" collapsed="false">
      <c r="A588" s="7"/>
      <c r="B588" s="8"/>
      <c r="C588" s="9"/>
      <c r="D588" s="20"/>
      <c r="E588" s="10"/>
      <c r="F588" s="9"/>
      <c r="G588" s="11" t="str">
        <f aca="false">IF(C588="","",IFERROR(INDEX(Catálogo!$B$5:$B$2000,MATCH(C588,Catálogo!$A$5:$A$2000,0)),""))</f>
        <v/>
      </c>
      <c r="H588" s="11" t="str">
        <f aca="false">IF(C588="","",IFERROR(INDEX(Catálogo!$C$5:$C$2000,MATCH(C588,Catálogo!$A$5:$A$2000,0)),""))</f>
        <v/>
      </c>
      <c r="I588" s="11" t="str">
        <f aca="false">IF(D588="","",IF(D588&gt;UmbralAlarma,"Alarmante",IF(D588&gt;=UmbralRegular,"Regular","Bueno")))</f>
        <v/>
      </c>
      <c r="J588" s="11" t="str">
        <f aca="true">IF(COUNTA(A588:F588)=0,"",IF(OR(A588="",B588="",C588="",D588=""),"Faltan datos",IF(G588="","AP no está en el catálogo",IF(A588&gt;TODAY()+1,"Fecha futura",IF(OR(D588&lt;0,D588&lt;&gt;INT(D588)),"Usuarios no válidos",IF(AND(E588&lt;&gt;"",OR(E588&lt;0,E588&gt;1)),"Utilización fuera de 0-100%",IF(COUNTIFS($A$5:$A$604,A588,$B$5:$B$604,B588,$C$5:$C$604,C588)&gt;1,"Fila duplicada","OK")))))))</f>
        <v/>
      </c>
      <c r="K588" s="9"/>
    </row>
    <row r="589" customFormat="false" ht="15" hidden="false" customHeight="false" outlineLevel="0" collapsed="false">
      <c r="A589" s="7"/>
      <c r="B589" s="8"/>
      <c r="C589" s="9"/>
      <c r="D589" s="20"/>
      <c r="E589" s="10"/>
      <c r="F589" s="9"/>
      <c r="G589" s="11" t="str">
        <f aca="false">IF(C589="","",IFERROR(INDEX(Catálogo!$B$5:$B$2000,MATCH(C589,Catálogo!$A$5:$A$2000,0)),""))</f>
        <v/>
      </c>
      <c r="H589" s="11" t="str">
        <f aca="false">IF(C589="","",IFERROR(INDEX(Catálogo!$C$5:$C$2000,MATCH(C589,Catálogo!$A$5:$A$2000,0)),""))</f>
        <v/>
      </c>
      <c r="I589" s="11" t="str">
        <f aca="false">IF(D589="","",IF(D589&gt;UmbralAlarma,"Alarmante",IF(D589&gt;=UmbralRegular,"Regular","Bueno")))</f>
        <v/>
      </c>
      <c r="J589" s="11" t="str">
        <f aca="true">IF(COUNTA(A589:F589)=0,"",IF(OR(A589="",B589="",C589="",D589=""),"Faltan datos",IF(G589="","AP no está en el catálogo",IF(A589&gt;TODAY()+1,"Fecha futura",IF(OR(D589&lt;0,D589&lt;&gt;INT(D589)),"Usuarios no válidos",IF(AND(E589&lt;&gt;"",OR(E589&lt;0,E589&gt;1)),"Utilización fuera de 0-100%",IF(COUNTIFS($A$5:$A$604,A589,$B$5:$B$604,B589,$C$5:$C$604,C589)&gt;1,"Fila duplicada","OK")))))))</f>
        <v/>
      </c>
      <c r="K589" s="9"/>
    </row>
    <row r="590" customFormat="false" ht="15" hidden="false" customHeight="false" outlineLevel="0" collapsed="false">
      <c r="A590" s="7"/>
      <c r="B590" s="8"/>
      <c r="C590" s="9"/>
      <c r="D590" s="20"/>
      <c r="E590" s="10"/>
      <c r="F590" s="9"/>
      <c r="G590" s="11" t="str">
        <f aca="false">IF(C590="","",IFERROR(INDEX(Catálogo!$B$5:$B$2000,MATCH(C590,Catálogo!$A$5:$A$2000,0)),""))</f>
        <v/>
      </c>
      <c r="H590" s="11" t="str">
        <f aca="false">IF(C590="","",IFERROR(INDEX(Catálogo!$C$5:$C$2000,MATCH(C590,Catálogo!$A$5:$A$2000,0)),""))</f>
        <v/>
      </c>
      <c r="I590" s="11" t="str">
        <f aca="false">IF(D590="","",IF(D590&gt;UmbralAlarma,"Alarmante",IF(D590&gt;=UmbralRegular,"Regular","Bueno")))</f>
        <v/>
      </c>
      <c r="J590" s="11" t="str">
        <f aca="true">IF(COUNTA(A590:F590)=0,"",IF(OR(A590="",B590="",C590="",D590=""),"Faltan datos",IF(G590="","AP no está en el catálogo",IF(A590&gt;TODAY()+1,"Fecha futura",IF(OR(D590&lt;0,D590&lt;&gt;INT(D590)),"Usuarios no válidos",IF(AND(E590&lt;&gt;"",OR(E590&lt;0,E590&gt;1)),"Utilización fuera de 0-100%",IF(COUNTIFS($A$5:$A$604,A590,$B$5:$B$604,B590,$C$5:$C$604,C590)&gt;1,"Fila duplicada","OK")))))))</f>
        <v/>
      </c>
      <c r="K590" s="9"/>
    </row>
    <row r="591" customFormat="false" ht="15" hidden="false" customHeight="false" outlineLevel="0" collapsed="false">
      <c r="A591" s="7"/>
      <c r="B591" s="8"/>
      <c r="C591" s="9"/>
      <c r="D591" s="20"/>
      <c r="E591" s="10"/>
      <c r="F591" s="9"/>
      <c r="G591" s="11" t="str">
        <f aca="false">IF(C591="","",IFERROR(INDEX(Catálogo!$B$5:$B$2000,MATCH(C591,Catálogo!$A$5:$A$2000,0)),""))</f>
        <v/>
      </c>
      <c r="H591" s="11" t="str">
        <f aca="false">IF(C591="","",IFERROR(INDEX(Catálogo!$C$5:$C$2000,MATCH(C591,Catálogo!$A$5:$A$2000,0)),""))</f>
        <v/>
      </c>
      <c r="I591" s="11" t="str">
        <f aca="false">IF(D591="","",IF(D591&gt;UmbralAlarma,"Alarmante",IF(D591&gt;=UmbralRegular,"Regular","Bueno")))</f>
        <v/>
      </c>
      <c r="J591" s="11" t="str">
        <f aca="true">IF(COUNTA(A591:F591)=0,"",IF(OR(A591="",B591="",C591="",D591=""),"Faltan datos",IF(G591="","AP no está en el catálogo",IF(A591&gt;TODAY()+1,"Fecha futura",IF(OR(D591&lt;0,D591&lt;&gt;INT(D591)),"Usuarios no válidos",IF(AND(E591&lt;&gt;"",OR(E591&lt;0,E591&gt;1)),"Utilización fuera de 0-100%",IF(COUNTIFS($A$5:$A$604,A591,$B$5:$B$604,B591,$C$5:$C$604,C591)&gt;1,"Fila duplicada","OK")))))))</f>
        <v/>
      </c>
      <c r="K591" s="9"/>
    </row>
    <row r="592" customFormat="false" ht="15" hidden="false" customHeight="false" outlineLevel="0" collapsed="false">
      <c r="A592" s="7"/>
      <c r="B592" s="8"/>
      <c r="C592" s="9"/>
      <c r="D592" s="20"/>
      <c r="E592" s="10"/>
      <c r="F592" s="9"/>
      <c r="G592" s="11" t="str">
        <f aca="false">IF(C592="","",IFERROR(INDEX(Catálogo!$B$5:$B$2000,MATCH(C592,Catálogo!$A$5:$A$2000,0)),""))</f>
        <v/>
      </c>
      <c r="H592" s="11" t="str">
        <f aca="false">IF(C592="","",IFERROR(INDEX(Catálogo!$C$5:$C$2000,MATCH(C592,Catálogo!$A$5:$A$2000,0)),""))</f>
        <v/>
      </c>
      <c r="I592" s="11" t="str">
        <f aca="false">IF(D592="","",IF(D592&gt;UmbralAlarma,"Alarmante",IF(D592&gt;=UmbralRegular,"Regular","Bueno")))</f>
        <v/>
      </c>
      <c r="J592" s="11" t="str">
        <f aca="true">IF(COUNTA(A592:F592)=0,"",IF(OR(A592="",B592="",C592="",D592=""),"Faltan datos",IF(G592="","AP no está en el catálogo",IF(A592&gt;TODAY()+1,"Fecha futura",IF(OR(D592&lt;0,D592&lt;&gt;INT(D592)),"Usuarios no válidos",IF(AND(E592&lt;&gt;"",OR(E592&lt;0,E592&gt;1)),"Utilización fuera de 0-100%",IF(COUNTIFS($A$5:$A$604,A592,$B$5:$B$604,B592,$C$5:$C$604,C592)&gt;1,"Fila duplicada","OK")))))))</f>
        <v/>
      </c>
      <c r="K592" s="9"/>
    </row>
    <row r="593" customFormat="false" ht="15" hidden="false" customHeight="false" outlineLevel="0" collapsed="false">
      <c r="A593" s="7"/>
      <c r="B593" s="8"/>
      <c r="C593" s="9"/>
      <c r="D593" s="20"/>
      <c r="E593" s="10"/>
      <c r="F593" s="9"/>
      <c r="G593" s="11" t="str">
        <f aca="false">IF(C593="","",IFERROR(INDEX(Catálogo!$B$5:$B$2000,MATCH(C593,Catálogo!$A$5:$A$2000,0)),""))</f>
        <v/>
      </c>
      <c r="H593" s="11" t="str">
        <f aca="false">IF(C593="","",IFERROR(INDEX(Catálogo!$C$5:$C$2000,MATCH(C593,Catálogo!$A$5:$A$2000,0)),""))</f>
        <v/>
      </c>
      <c r="I593" s="11" t="str">
        <f aca="false">IF(D593="","",IF(D593&gt;UmbralAlarma,"Alarmante",IF(D593&gt;=UmbralRegular,"Regular","Bueno")))</f>
        <v/>
      </c>
      <c r="J593" s="11" t="str">
        <f aca="true">IF(COUNTA(A593:F593)=0,"",IF(OR(A593="",B593="",C593="",D593=""),"Faltan datos",IF(G593="","AP no está en el catálogo",IF(A593&gt;TODAY()+1,"Fecha futura",IF(OR(D593&lt;0,D593&lt;&gt;INT(D593)),"Usuarios no válidos",IF(AND(E593&lt;&gt;"",OR(E593&lt;0,E593&gt;1)),"Utilización fuera de 0-100%",IF(COUNTIFS($A$5:$A$604,A593,$B$5:$B$604,B593,$C$5:$C$604,C593)&gt;1,"Fila duplicada","OK")))))))</f>
        <v/>
      </c>
      <c r="K593" s="9"/>
    </row>
    <row r="594" customFormat="false" ht="15" hidden="false" customHeight="false" outlineLevel="0" collapsed="false">
      <c r="A594" s="7"/>
      <c r="B594" s="8"/>
      <c r="C594" s="9"/>
      <c r="D594" s="20"/>
      <c r="E594" s="10"/>
      <c r="F594" s="9"/>
      <c r="G594" s="11" t="str">
        <f aca="false">IF(C594="","",IFERROR(INDEX(Catálogo!$B$5:$B$2000,MATCH(C594,Catálogo!$A$5:$A$2000,0)),""))</f>
        <v/>
      </c>
      <c r="H594" s="11" t="str">
        <f aca="false">IF(C594="","",IFERROR(INDEX(Catálogo!$C$5:$C$2000,MATCH(C594,Catálogo!$A$5:$A$2000,0)),""))</f>
        <v/>
      </c>
      <c r="I594" s="11" t="str">
        <f aca="false">IF(D594="","",IF(D594&gt;UmbralAlarma,"Alarmante",IF(D594&gt;=UmbralRegular,"Regular","Bueno")))</f>
        <v/>
      </c>
      <c r="J594" s="11" t="str">
        <f aca="true">IF(COUNTA(A594:F594)=0,"",IF(OR(A594="",B594="",C594="",D594=""),"Faltan datos",IF(G594="","AP no está en el catálogo",IF(A594&gt;TODAY()+1,"Fecha futura",IF(OR(D594&lt;0,D594&lt;&gt;INT(D594)),"Usuarios no válidos",IF(AND(E594&lt;&gt;"",OR(E594&lt;0,E594&gt;1)),"Utilización fuera de 0-100%",IF(COUNTIFS($A$5:$A$604,A594,$B$5:$B$604,B594,$C$5:$C$604,C594)&gt;1,"Fila duplicada","OK")))))))</f>
        <v/>
      </c>
      <c r="K594" s="9"/>
    </row>
    <row r="595" customFormat="false" ht="15" hidden="false" customHeight="false" outlineLevel="0" collapsed="false">
      <c r="A595" s="7"/>
      <c r="B595" s="8"/>
      <c r="C595" s="9"/>
      <c r="D595" s="20"/>
      <c r="E595" s="10"/>
      <c r="F595" s="9"/>
      <c r="G595" s="11" t="str">
        <f aca="false">IF(C595="","",IFERROR(INDEX(Catálogo!$B$5:$B$2000,MATCH(C595,Catálogo!$A$5:$A$2000,0)),""))</f>
        <v/>
      </c>
      <c r="H595" s="11" t="str">
        <f aca="false">IF(C595="","",IFERROR(INDEX(Catálogo!$C$5:$C$2000,MATCH(C595,Catálogo!$A$5:$A$2000,0)),""))</f>
        <v/>
      </c>
      <c r="I595" s="11" t="str">
        <f aca="false">IF(D595="","",IF(D595&gt;UmbralAlarma,"Alarmante",IF(D595&gt;=UmbralRegular,"Regular","Bueno")))</f>
        <v/>
      </c>
      <c r="J595" s="11" t="str">
        <f aca="true">IF(COUNTA(A595:F595)=0,"",IF(OR(A595="",B595="",C595="",D595=""),"Faltan datos",IF(G595="","AP no está en el catálogo",IF(A595&gt;TODAY()+1,"Fecha futura",IF(OR(D595&lt;0,D595&lt;&gt;INT(D595)),"Usuarios no válidos",IF(AND(E595&lt;&gt;"",OR(E595&lt;0,E595&gt;1)),"Utilización fuera de 0-100%",IF(COUNTIFS($A$5:$A$604,A595,$B$5:$B$604,B595,$C$5:$C$604,C595)&gt;1,"Fila duplicada","OK")))))))</f>
        <v/>
      </c>
      <c r="K595" s="9"/>
    </row>
    <row r="596" customFormat="false" ht="15" hidden="false" customHeight="false" outlineLevel="0" collapsed="false">
      <c r="A596" s="7"/>
      <c r="B596" s="8"/>
      <c r="C596" s="9"/>
      <c r="D596" s="20"/>
      <c r="E596" s="10"/>
      <c r="F596" s="9"/>
      <c r="G596" s="11" t="str">
        <f aca="false">IF(C596="","",IFERROR(INDEX(Catálogo!$B$5:$B$2000,MATCH(C596,Catálogo!$A$5:$A$2000,0)),""))</f>
        <v/>
      </c>
      <c r="H596" s="11" t="str">
        <f aca="false">IF(C596="","",IFERROR(INDEX(Catálogo!$C$5:$C$2000,MATCH(C596,Catálogo!$A$5:$A$2000,0)),""))</f>
        <v/>
      </c>
      <c r="I596" s="11" t="str">
        <f aca="false">IF(D596="","",IF(D596&gt;UmbralAlarma,"Alarmante",IF(D596&gt;=UmbralRegular,"Regular","Bueno")))</f>
        <v/>
      </c>
      <c r="J596" s="11" t="str">
        <f aca="true">IF(COUNTA(A596:F596)=0,"",IF(OR(A596="",B596="",C596="",D596=""),"Faltan datos",IF(G596="","AP no está en el catálogo",IF(A596&gt;TODAY()+1,"Fecha futura",IF(OR(D596&lt;0,D596&lt;&gt;INT(D596)),"Usuarios no válidos",IF(AND(E596&lt;&gt;"",OR(E596&lt;0,E596&gt;1)),"Utilización fuera de 0-100%",IF(COUNTIFS($A$5:$A$604,A596,$B$5:$B$604,B596,$C$5:$C$604,C596)&gt;1,"Fila duplicada","OK")))))))</f>
        <v/>
      </c>
      <c r="K596" s="9"/>
    </row>
    <row r="597" customFormat="false" ht="15" hidden="false" customHeight="false" outlineLevel="0" collapsed="false">
      <c r="A597" s="7"/>
      <c r="B597" s="8"/>
      <c r="C597" s="9"/>
      <c r="D597" s="20"/>
      <c r="E597" s="10"/>
      <c r="F597" s="9"/>
      <c r="G597" s="11" t="str">
        <f aca="false">IF(C597="","",IFERROR(INDEX(Catálogo!$B$5:$B$2000,MATCH(C597,Catálogo!$A$5:$A$2000,0)),""))</f>
        <v/>
      </c>
      <c r="H597" s="11" t="str">
        <f aca="false">IF(C597="","",IFERROR(INDEX(Catálogo!$C$5:$C$2000,MATCH(C597,Catálogo!$A$5:$A$2000,0)),""))</f>
        <v/>
      </c>
      <c r="I597" s="11" t="str">
        <f aca="false">IF(D597="","",IF(D597&gt;UmbralAlarma,"Alarmante",IF(D597&gt;=UmbralRegular,"Regular","Bueno")))</f>
        <v/>
      </c>
      <c r="J597" s="11" t="str">
        <f aca="true">IF(COUNTA(A597:F597)=0,"",IF(OR(A597="",B597="",C597="",D597=""),"Faltan datos",IF(G597="","AP no está en el catálogo",IF(A597&gt;TODAY()+1,"Fecha futura",IF(OR(D597&lt;0,D597&lt;&gt;INT(D597)),"Usuarios no válidos",IF(AND(E597&lt;&gt;"",OR(E597&lt;0,E597&gt;1)),"Utilización fuera de 0-100%",IF(COUNTIFS($A$5:$A$604,A597,$B$5:$B$604,B597,$C$5:$C$604,C597)&gt;1,"Fila duplicada","OK")))))))</f>
        <v/>
      </c>
      <c r="K597" s="9"/>
    </row>
    <row r="598" customFormat="false" ht="15" hidden="false" customHeight="false" outlineLevel="0" collapsed="false">
      <c r="A598" s="7"/>
      <c r="B598" s="8"/>
      <c r="C598" s="9"/>
      <c r="D598" s="20"/>
      <c r="E598" s="10"/>
      <c r="F598" s="9"/>
      <c r="G598" s="11" t="str">
        <f aca="false">IF(C598="","",IFERROR(INDEX(Catálogo!$B$5:$B$2000,MATCH(C598,Catálogo!$A$5:$A$2000,0)),""))</f>
        <v/>
      </c>
      <c r="H598" s="11" t="str">
        <f aca="false">IF(C598="","",IFERROR(INDEX(Catálogo!$C$5:$C$2000,MATCH(C598,Catálogo!$A$5:$A$2000,0)),""))</f>
        <v/>
      </c>
      <c r="I598" s="11" t="str">
        <f aca="false">IF(D598="","",IF(D598&gt;UmbralAlarma,"Alarmante",IF(D598&gt;=UmbralRegular,"Regular","Bueno")))</f>
        <v/>
      </c>
      <c r="J598" s="11" t="str">
        <f aca="true">IF(COUNTA(A598:F598)=0,"",IF(OR(A598="",B598="",C598="",D598=""),"Faltan datos",IF(G598="","AP no está en el catálogo",IF(A598&gt;TODAY()+1,"Fecha futura",IF(OR(D598&lt;0,D598&lt;&gt;INT(D598)),"Usuarios no válidos",IF(AND(E598&lt;&gt;"",OR(E598&lt;0,E598&gt;1)),"Utilización fuera de 0-100%",IF(COUNTIFS($A$5:$A$604,A598,$B$5:$B$604,B598,$C$5:$C$604,C598)&gt;1,"Fila duplicada","OK")))))))</f>
        <v/>
      </c>
      <c r="K598" s="9"/>
    </row>
    <row r="599" customFormat="false" ht="15" hidden="false" customHeight="false" outlineLevel="0" collapsed="false">
      <c r="A599" s="7"/>
      <c r="B599" s="8"/>
      <c r="C599" s="9"/>
      <c r="D599" s="20"/>
      <c r="E599" s="10"/>
      <c r="F599" s="9"/>
      <c r="G599" s="11" t="str">
        <f aca="false">IF(C599="","",IFERROR(INDEX(Catálogo!$B$5:$B$2000,MATCH(C599,Catálogo!$A$5:$A$2000,0)),""))</f>
        <v/>
      </c>
      <c r="H599" s="11" t="str">
        <f aca="false">IF(C599="","",IFERROR(INDEX(Catálogo!$C$5:$C$2000,MATCH(C599,Catálogo!$A$5:$A$2000,0)),""))</f>
        <v/>
      </c>
      <c r="I599" s="11" t="str">
        <f aca="false">IF(D599="","",IF(D599&gt;UmbralAlarma,"Alarmante",IF(D599&gt;=UmbralRegular,"Regular","Bueno")))</f>
        <v/>
      </c>
      <c r="J599" s="11" t="str">
        <f aca="true">IF(COUNTA(A599:F599)=0,"",IF(OR(A599="",B599="",C599="",D599=""),"Faltan datos",IF(G599="","AP no está en el catálogo",IF(A599&gt;TODAY()+1,"Fecha futura",IF(OR(D599&lt;0,D599&lt;&gt;INT(D599)),"Usuarios no válidos",IF(AND(E599&lt;&gt;"",OR(E599&lt;0,E599&gt;1)),"Utilización fuera de 0-100%",IF(COUNTIFS($A$5:$A$604,A599,$B$5:$B$604,B599,$C$5:$C$604,C599)&gt;1,"Fila duplicada","OK")))))))</f>
        <v/>
      </c>
      <c r="K599" s="9"/>
    </row>
    <row r="600" customFormat="false" ht="15" hidden="false" customHeight="false" outlineLevel="0" collapsed="false">
      <c r="A600" s="7"/>
      <c r="B600" s="8"/>
      <c r="C600" s="9"/>
      <c r="D600" s="20"/>
      <c r="E600" s="10"/>
      <c r="F600" s="9"/>
      <c r="G600" s="11" t="str">
        <f aca="false">IF(C600="","",IFERROR(INDEX(Catálogo!$B$5:$B$2000,MATCH(C600,Catálogo!$A$5:$A$2000,0)),""))</f>
        <v/>
      </c>
      <c r="H600" s="11" t="str">
        <f aca="false">IF(C600="","",IFERROR(INDEX(Catálogo!$C$5:$C$2000,MATCH(C600,Catálogo!$A$5:$A$2000,0)),""))</f>
        <v/>
      </c>
      <c r="I600" s="11" t="str">
        <f aca="false">IF(D600="","",IF(D600&gt;UmbralAlarma,"Alarmante",IF(D600&gt;=UmbralRegular,"Regular","Bueno")))</f>
        <v/>
      </c>
      <c r="J600" s="11" t="str">
        <f aca="true">IF(COUNTA(A600:F600)=0,"",IF(OR(A600="",B600="",C600="",D600=""),"Faltan datos",IF(G600="","AP no está en el catálogo",IF(A600&gt;TODAY()+1,"Fecha futura",IF(OR(D600&lt;0,D600&lt;&gt;INT(D600)),"Usuarios no válidos",IF(AND(E600&lt;&gt;"",OR(E600&lt;0,E600&gt;1)),"Utilización fuera de 0-100%",IF(COUNTIFS($A$5:$A$604,A600,$B$5:$B$604,B600,$C$5:$C$604,C600)&gt;1,"Fila duplicada","OK")))))))</f>
        <v/>
      </c>
      <c r="K600" s="9"/>
    </row>
    <row r="601" customFormat="false" ht="15" hidden="false" customHeight="false" outlineLevel="0" collapsed="false">
      <c r="A601" s="7"/>
      <c r="B601" s="8"/>
      <c r="C601" s="9"/>
      <c r="D601" s="20"/>
      <c r="E601" s="10"/>
      <c r="F601" s="9"/>
      <c r="G601" s="11" t="str">
        <f aca="false">IF(C601="","",IFERROR(INDEX(Catálogo!$B$5:$B$2000,MATCH(C601,Catálogo!$A$5:$A$2000,0)),""))</f>
        <v/>
      </c>
      <c r="H601" s="11" t="str">
        <f aca="false">IF(C601="","",IFERROR(INDEX(Catálogo!$C$5:$C$2000,MATCH(C601,Catálogo!$A$5:$A$2000,0)),""))</f>
        <v/>
      </c>
      <c r="I601" s="11" t="str">
        <f aca="false">IF(D601="","",IF(D601&gt;UmbralAlarma,"Alarmante",IF(D601&gt;=UmbralRegular,"Regular","Bueno")))</f>
        <v/>
      </c>
      <c r="J601" s="11" t="str">
        <f aca="true">IF(COUNTA(A601:F601)=0,"",IF(OR(A601="",B601="",C601="",D601=""),"Faltan datos",IF(G601="","AP no está en el catálogo",IF(A601&gt;TODAY()+1,"Fecha futura",IF(OR(D601&lt;0,D601&lt;&gt;INT(D601)),"Usuarios no válidos",IF(AND(E601&lt;&gt;"",OR(E601&lt;0,E601&gt;1)),"Utilización fuera de 0-100%",IF(COUNTIFS($A$5:$A$604,A601,$B$5:$B$604,B601,$C$5:$C$604,C601)&gt;1,"Fila duplicada","OK")))))))</f>
        <v/>
      </c>
      <c r="K601" s="9"/>
    </row>
    <row r="602" customFormat="false" ht="15" hidden="false" customHeight="false" outlineLevel="0" collapsed="false">
      <c r="A602" s="7"/>
      <c r="B602" s="8"/>
      <c r="C602" s="9"/>
      <c r="D602" s="20"/>
      <c r="E602" s="10"/>
      <c r="F602" s="9"/>
      <c r="G602" s="11" t="str">
        <f aca="false">IF(C602="","",IFERROR(INDEX(Catálogo!$B$5:$B$2000,MATCH(C602,Catálogo!$A$5:$A$2000,0)),""))</f>
        <v/>
      </c>
      <c r="H602" s="11" t="str">
        <f aca="false">IF(C602="","",IFERROR(INDEX(Catálogo!$C$5:$C$2000,MATCH(C602,Catálogo!$A$5:$A$2000,0)),""))</f>
        <v/>
      </c>
      <c r="I602" s="11" t="str">
        <f aca="false">IF(D602="","",IF(D602&gt;UmbralAlarma,"Alarmante",IF(D602&gt;=UmbralRegular,"Regular","Bueno")))</f>
        <v/>
      </c>
      <c r="J602" s="11" t="str">
        <f aca="true">IF(COUNTA(A602:F602)=0,"",IF(OR(A602="",B602="",C602="",D602=""),"Faltan datos",IF(G602="","AP no está en el catálogo",IF(A602&gt;TODAY()+1,"Fecha futura",IF(OR(D602&lt;0,D602&lt;&gt;INT(D602)),"Usuarios no válidos",IF(AND(E602&lt;&gt;"",OR(E602&lt;0,E602&gt;1)),"Utilización fuera de 0-100%",IF(COUNTIFS($A$5:$A$604,A602,$B$5:$B$604,B602,$C$5:$C$604,C602)&gt;1,"Fila duplicada","OK")))))))</f>
        <v/>
      </c>
      <c r="K602" s="9"/>
    </row>
    <row r="603" customFormat="false" ht="15" hidden="false" customHeight="false" outlineLevel="0" collapsed="false">
      <c r="A603" s="7"/>
      <c r="B603" s="8"/>
      <c r="C603" s="9"/>
      <c r="D603" s="20"/>
      <c r="E603" s="10"/>
      <c r="F603" s="9"/>
      <c r="G603" s="11" t="str">
        <f aca="false">IF(C603="","",IFERROR(INDEX(Catálogo!$B$5:$B$2000,MATCH(C603,Catálogo!$A$5:$A$2000,0)),""))</f>
        <v/>
      </c>
      <c r="H603" s="11" t="str">
        <f aca="false">IF(C603="","",IFERROR(INDEX(Catálogo!$C$5:$C$2000,MATCH(C603,Catálogo!$A$5:$A$2000,0)),""))</f>
        <v/>
      </c>
      <c r="I603" s="11" t="str">
        <f aca="false">IF(D603="","",IF(D603&gt;UmbralAlarma,"Alarmante",IF(D603&gt;=UmbralRegular,"Regular","Bueno")))</f>
        <v/>
      </c>
      <c r="J603" s="11" t="str">
        <f aca="true">IF(COUNTA(A603:F603)=0,"",IF(OR(A603="",B603="",C603="",D603=""),"Faltan datos",IF(G603="","AP no está en el catálogo",IF(A603&gt;TODAY()+1,"Fecha futura",IF(OR(D603&lt;0,D603&lt;&gt;INT(D603)),"Usuarios no válidos",IF(AND(E603&lt;&gt;"",OR(E603&lt;0,E603&gt;1)),"Utilización fuera de 0-100%",IF(COUNTIFS($A$5:$A$604,A603,$B$5:$B$604,B603,$C$5:$C$604,C603)&gt;1,"Fila duplicada","OK")))))))</f>
        <v/>
      </c>
      <c r="K603" s="9"/>
    </row>
    <row r="604" customFormat="false" ht="15" hidden="false" customHeight="false" outlineLevel="0" collapsed="false">
      <c r="A604" s="7"/>
      <c r="B604" s="8"/>
      <c r="C604" s="9"/>
      <c r="D604" s="20"/>
      <c r="E604" s="10"/>
      <c r="F604" s="9"/>
      <c r="G604" s="11" t="str">
        <f aca="false">IF(C604="","",IFERROR(INDEX(Catálogo!$B$5:$B$2000,MATCH(C604,Catálogo!$A$5:$A$2000,0)),""))</f>
        <v/>
      </c>
      <c r="H604" s="11" t="str">
        <f aca="false">IF(C604="","",IFERROR(INDEX(Catálogo!$C$5:$C$2000,MATCH(C604,Catálogo!$A$5:$A$2000,0)),""))</f>
        <v/>
      </c>
      <c r="I604" s="11" t="str">
        <f aca="false">IF(D604="","",IF(D604&gt;UmbralAlarma,"Alarmante",IF(D604&gt;=UmbralRegular,"Regular","Bueno")))</f>
        <v/>
      </c>
      <c r="J604" s="11" t="str">
        <f aca="true">IF(COUNTA(A604:F604)=0,"",IF(OR(A604="",B604="",C604="",D604=""),"Faltan datos",IF(G604="","AP no está en el catálogo",IF(A604&gt;TODAY()+1,"Fecha futura",IF(OR(D604&lt;0,D604&lt;&gt;INT(D604)),"Usuarios no válidos",IF(AND(E604&lt;&gt;"",OR(E604&lt;0,E604&gt;1)),"Utilización fuera de 0-100%",IF(COUNTIFS($A$5:$A$604,A604,$B$5:$B$604,B604,$C$5:$C$604,C604)&gt;1,"Fila duplicada","OK")))))))</f>
        <v/>
      </c>
      <c r="K604" s="9"/>
    </row>
  </sheetData>
  <conditionalFormatting sqref="D5:D604">
    <cfRule type="expression" priority="2" aboveAverage="0" equalAverage="0" bottom="0" percent="0" rank="0" text="" dxfId="5">
      <formula>AND(ISNUMBER(D5),D5&gt;UmbralAlarma)</formula>
    </cfRule>
    <cfRule type="expression" priority="3" aboveAverage="0" equalAverage="0" bottom="0" percent="0" rank="0" text="" dxfId="6">
      <formula>AND(ISNUMBER(D5),D5&gt;=UmbralRegular)</formula>
    </cfRule>
    <cfRule type="expression" priority="4" aboveAverage="0" equalAverage="0" bottom="0" percent="0" rank="0" text="" dxfId="7">
      <formula>ISNUMBER(D5)</formula>
    </cfRule>
  </conditionalFormatting>
  <conditionalFormatting sqref="J5:J604">
    <cfRule type="expression" priority="5" aboveAverage="0" equalAverage="0" bottom="0" percent="0" rank="0" text="" dxfId="8">
      <formula>AND(J5&lt;&gt;"",J5&lt;&gt;"OK")</formula>
    </cfRule>
    <cfRule type="expression" priority="6" aboveAverage="0" equalAverage="0" bottom="0" percent="0" rank="0" text="" dxfId="9">
      <formula>J5="OK"</formula>
    </cfRule>
  </conditionalFormatting>
  <dataValidations count="5">
    <dataValidation allowBlank="true" error="Escribe una fecha como 09/10/2026. No puede ser futura." errorStyle="stop" errorTitle="Fecha no válida" operator="between" showDropDown="false" showErrorMessage="true" showInputMessage="false" sqref="A5:A604" type="date">
      <formula1>DATE(2026,1,1)</formula1>
      <formula2>TODAY()+1</formula2>
    </dataValidation>
    <dataValidation allowBlank="true" error="Escribe la hora en formato 24 h, por ejemplo 11:00 o 16:30." errorStyle="stop" errorTitle="Hora no válida" operator="between" showDropDown="false" showErrorMessage="true" showInputMessage="false" sqref="B5:B604" type="time">
      <formula1>0</formula1>
      <formula2>0.999305</formula2>
    </dataValidation>
    <dataValidation allowBlank="true" error="Elige un AP de la lista. Si es nuevo, agrégalo primero en la hoja Catálogo." errorStyle="stop" errorTitle="AP no válido" operator="between" showDropDown="false" showErrorMessage="true" showInputMessage="false" sqref="C5:C604" type="list">
      <formula1>ListaAP</formula1>
      <formula2>0</formula2>
    </dataValidation>
    <dataValidation allowBlank="true" error="Escribe un número entero de usuarios, de 0 a 500." errorStyle="stop" errorTitle="Usuarios no válidos" operator="between" showDropDown="false" showErrorMessage="true" showInputMessage="false" sqref="D5:D604" type="whole">
      <formula1>0</formula1>
      <formula2>500</formula2>
    </dataValidation>
    <dataValidation allowBlank="true" error="Escribe un porcentaje entre 0% y 100%, por ejemplo 25%." errorStyle="stop" errorTitle="Utilización no válida" operator="between" showDropDown="false" showErrorMessage="true" showInputMessage="false" sqref="E5:E604" type="decimal">
      <formula1>0</formula1>
      <formula2>1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4"/>
    <col collapsed="false" customWidth="true" hidden="false" outlineLevel="0" max="3" min="3" style="0" width="10"/>
    <col collapsed="false" customWidth="true" hidden="false" outlineLevel="0" max="5" min="4" style="0" width="3"/>
    <col collapsed="false" customWidth="true" hidden="false" outlineLevel="0" max="6" min="6" style="0" width="30"/>
    <col collapsed="false" customWidth="true" hidden="false" outlineLevel="0" max="7" min="7" style="0" width="10"/>
  </cols>
  <sheetData>
    <row r="1" customFormat="false" ht="19.7" hidden="false" customHeight="false" outlineLevel="0" collapsed="false">
      <c r="A1" s="1" t="s">
        <v>58</v>
      </c>
    </row>
    <row r="2" customFormat="false" ht="15" hidden="false" customHeight="false" outlineLevel="0" collapsed="false">
      <c r="A2" s="2" t="s">
        <v>59</v>
      </c>
    </row>
    <row r="4" customFormat="false" ht="15" hidden="false" customHeight="false" outlineLevel="0" collapsed="false">
      <c r="A4" s="21" t="s">
        <v>20</v>
      </c>
      <c r="B4" s="21" t="s">
        <v>23</v>
      </c>
      <c r="C4" s="21" t="s">
        <v>24</v>
      </c>
      <c r="F4" s="4" t="s">
        <v>60</v>
      </c>
    </row>
    <row r="5" customFormat="false" ht="15" hidden="false" customHeight="false" outlineLevel="0" collapsed="false">
      <c r="A5" s="5" t="s">
        <v>27</v>
      </c>
      <c r="B5" s="5" t="s">
        <v>28</v>
      </c>
      <c r="C5" s="5" t="s">
        <v>29</v>
      </c>
      <c r="F5" s="5" t="s">
        <v>61</v>
      </c>
      <c r="G5" s="22" t="n">
        <v>30</v>
      </c>
    </row>
    <row r="6" customFormat="false" ht="15" hidden="false" customHeight="false" outlineLevel="0" collapsed="false">
      <c r="A6" s="5" t="s">
        <v>62</v>
      </c>
      <c r="B6" s="5" t="s">
        <v>28</v>
      </c>
      <c r="C6" s="5" t="s">
        <v>29</v>
      </c>
      <c r="F6" s="5" t="s">
        <v>63</v>
      </c>
      <c r="G6" s="22" t="n">
        <v>37</v>
      </c>
    </row>
    <row r="7" customFormat="false" ht="15" hidden="false" customHeight="false" outlineLevel="0" collapsed="false">
      <c r="A7" s="5" t="s">
        <v>64</v>
      </c>
      <c r="B7" s="5" t="s">
        <v>28</v>
      </c>
      <c r="C7" s="5" t="s">
        <v>29</v>
      </c>
    </row>
    <row r="8" customFormat="false" ht="15" hidden="false" customHeight="false" outlineLevel="0" collapsed="false">
      <c r="A8" s="5" t="s">
        <v>65</v>
      </c>
      <c r="B8" s="5" t="s">
        <v>28</v>
      </c>
      <c r="C8" s="5" t="s">
        <v>29</v>
      </c>
      <c r="F8" s="4" t="s">
        <v>66</v>
      </c>
    </row>
    <row r="9" customFormat="false" ht="15" hidden="false" customHeight="false" outlineLevel="0" collapsed="false">
      <c r="A9" s="5" t="s">
        <v>67</v>
      </c>
      <c r="B9" s="5" t="s">
        <v>28</v>
      </c>
      <c r="C9" s="5" t="s">
        <v>29</v>
      </c>
      <c r="F9" s="5" t="s">
        <v>28</v>
      </c>
    </row>
    <row r="10" customFormat="false" ht="15" hidden="false" customHeight="false" outlineLevel="0" collapsed="false">
      <c r="A10" s="5" t="s">
        <v>68</v>
      </c>
      <c r="B10" s="5" t="s">
        <v>28</v>
      </c>
      <c r="C10" s="5" t="s">
        <v>29</v>
      </c>
      <c r="F10" s="5" t="s">
        <v>47</v>
      </c>
    </row>
    <row r="11" customFormat="false" ht="15" hidden="false" customHeight="false" outlineLevel="0" collapsed="false">
      <c r="A11" s="5" t="s">
        <v>69</v>
      </c>
      <c r="B11" s="5" t="s">
        <v>28</v>
      </c>
      <c r="C11" s="5" t="s">
        <v>29</v>
      </c>
      <c r="F11" s="5" t="s">
        <v>48</v>
      </c>
    </row>
    <row r="12" customFormat="false" ht="15" hidden="false" customHeight="false" outlineLevel="0" collapsed="false">
      <c r="A12" s="5" t="s">
        <v>70</v>
      </c>
      <c r="B12" s="5" t="s">
        <v>47</v>
      </c>
      <c r="C12" s="5" t="s">
        <v>71</v>
      </c>
      <c r="F12" s="5" t="s">
        <v>49</v>
      </c>
    </row>
    <row r="13" customFormat="false" ht="15" hidden="false" customHeight="false" outlineLevel="0" collapsed="false">
      <c r="A13" s="5" t="s">
        <v>72</v>
      </c>
      <c r="B13" s="5" t="s">
        <v>47</v>
      </c>
      <c r="C13" s="5" t="s">
        <v>71</v>
      </c>
      <c r="F13" s="5" t="s">
        <v>50</v>
      </c>
    </row>
    <row r="14" customFormat="false" ht="15" hidden="false" customHeight="false" outlineLevel="0" collapsed="false">
      <c r="A14" s="5" t="s">
        <v>73</v>
      </c>
      <c r="B14" s="5" t="s">
        <v>47</v>
      </c>
      <c r="C14" s="5" t="s">
        <v>71</v>
      </c>
    </row>
    <row r="15" customFormat="false" ht="15" hidden="false" customHeight="false" outlineLevel="0" collapsed="false">
      <c r="A15" s="5" t="s">
        <v>74</v>
      </c>
      <c r="B15" s="5" t="s">
        <v>47</v>
      </c>
      <c r="C15" s="5" t="s">
        <v>71</v>
      </c>
    </row>
    <row r="16" customFormat="false" ht="15" hidden="false" customHeight="false" outlineLevel="0" collapsed="false">
      <c r="A16" s="5" t="s">
        <v>75</v>
      </c>
      <c r="B16" s="5" t="s">
        <v>47</v>
      </c>
      <c r="C16" s="5" t="s">
        <v>71</v>
      </c>
    </row>
    <row r="17" customFormat="false" ht="15" hidden="false" customHeight="false" outlineLevel="0" collapsed="false">
      <c r="A17" s="5" t="s">
        <v>76</v>
      </c>
      <c r="B17" s="5" t="s">
        <v>47</v>
      </c>
      <c r="C17" s="5" t="s">
        <v>71</v>
      </c>
    </row>
    <row r="18" customFormat="false" ht="15" hidden="false" customHeight="false" outlineLevel="0" collapsed="false">
      <c r="A18" s="5" t="s">
        <v>77</v>
      </c>
      <c r="B18" s="5" t="s">
        <v>47</v>
      </c>
      <c r="C18" s="5" t="s">
        <v>71</v>
      </c>
    </row>
    <row r="19" customFormat="false" ht="15" hidden="false" customHeight="false" outlineLevel="0" collapsed="false">
      <c r="A19" s="5" t="s">
        <v>78</v>
      </c>
      <c r="B19" s="5" t="s">
        <v>47</v>
      </c>
      <c r="C19" s="5" t="s">
        <v>71</v>
      </c>
    </row>
    <row r="20" customFormat="false" ht="15" hidden="false" customHeight="false" outlineLevel="0" collapsed="false">
      <c r="A20" s="5" t="s">
        <v>79</v>
      </c>
      <c r="B20" s="5" t="s">
        <v>47</v>
      </c>
      <c r="C20" s="5" t="s">
        <v>71</v>
      </c>
    </row>
    <row r="21" customFormat="false" ht="15" hidden="false" customHeight="false" outlineLevel="0" collapsed="false">
      <c r="A21" s="5" t="s">
        <v>80</v>
      </c>
      <c r="B21" s="5" t="s">
        <v>47</v>
      </c>
      <c r="C21" s="5" t="s">
        <v>71</v>
      </c>
    </row>
    <row r="22" customFormat="false" ht="15" hidden="false" customHeight="false" outlineLevel="0" collapsed="false">
      <c r="A22" s="5" t="s">
        <v>81</v>
      </c>
      <c r="B22" s="5" t="s">
        <v>47</v>
      </c>
      <c r="C22" s="5" t="s">
        <v>82</v>
      </c>
    </row>
    <row r="23" customFormat="false" ht="15" hidden="false" customHeight="false" outlineLevel="0" collapsed="false">
      <c r="A23" s="5" t="s">
        <v>83</v>
      </c>
      <c r="B23" s="5" t="s">
        <v>47</v>
      </c>
      <c r="C23" s="5" t="s">
        <v>82</v>
      </c>
    </row>
    <row r="24" customFormat="false" ht="15" hidden="false" customHeight="false" outlineLevel="0" collapsed="false">
      <c r="A24" s="5" t="s">
        <v>84</v>
      </c>
      <c r="B24" s="5" t="s">
        <v>47</v>
      </c>
      <c r="C24" s="5" t="s">
        <v>82</v>
      </c>
    </row>
    <row r="25" customFormat="false" ht="15" hidden="false" customHeight="false" outlineLevel="0" collapsed="false">
      <c r="A25" s="5" t="s">
        <v>85</v>
      </c>
      <c r="B25" s="5" t="s">
        <v>47</v>
      </c>
      <c r="C25" s="5" t="s">
        <v>82</v>
      </c>
    </row>
    <row r="26" customFormat="false" ht="15" hidden="false" customHeight="false" outlineLevel="0" collapsed="false">
      <c r="A26" s="5" t="s">
        <v>86</v>
      </c>
      <c r="B26" s="5" t="s">
        <v>47</v>
      </c>
      <c r="C26" s="5" t="s">
        <v>82</v>
      </c>
    </row>
    <row r="27" customFormat="false" ht="15" hidden="false" customHeight="false" outlineLevel="0" collapsed="false">
      <c r="A27" s="5" t="s">
        <v>87</v>
      </c>
      <c r="B27" s="5" t="s">
        <v>47</v>
      </c>
      <c r="C27" s="5" t="s">
        <v>82</v>
      </c>
    </row>
    <row r="28" customFormat="false" ht="15" hidden="false" customHeight="false" outlineLevel="0" collapsed="false">
      <c r="A28" s="5" t="s">
        <v>88</v>
      </c>
      <c r="B28" s="5" t="s">
        <v>47</v>
      </c>
      <c r="C28" s="5" t="s">
        <v>82</v>
      </c>
    </row>
    <row r="29" customFormat="false" ht="15" hidden="false" customHeight="false" outlineLevel="0" collapsed="false">
      <c r="A29" s="5" t="s">
        <v>89</v>
      </c>
      <c r="B29" s="5" t="s">
        <v>47</v>
      </c>
      <c r="C29" s="5" t="s">
        <v>82</v>
      </c>
    </row>
    <row r="30" customFormat="false" ht="15" hidden="false" customHeight="false" outlineLevel="0" collapsed="false">
      <c r="A30" s="5" t="s">
        <v>90</v>
      </c>
      <c r="B30" s="5" t="s">
        <v>47</v>
      </c>
      <c r="C30" s="5" t="s">
        <v>82</v>
      </c>
    </row>
    <row r="31" customFormat="false" ht="15" hidden="false" customHeight="false" outlineLevel="0" collapsed="false">
      <c r="A31" s="5" t="s">
        <v>91</v>
      </c>
      <c r="B31" s="5" t="s">
        <v>48</v>
      </c>
      <c r="C31" s="5" t="s">
        <v>92</v>
      </c>
    </row>
    <row r="32" customFormat="false" ht="15" hidden="false" customHeight="false" outlineLevel="0" collapsed="false">
      <c r="A32" s="5" t="s">
        <v>93</v>
      </c>
      <c r="B32" s="5" t="s">
        <v>48</v>
      </c>
      <c r="C32" s="5" t="s">
        <v>92</v>
      </c>
    </row>
    <row r="33" customFormat="false" ht="15" hidden="false" customHeight="false" outlineLevel="0" collapsed="false">
      <c r="A33" s="5" t="s">
        <v>94</v>
      </c>
      <c r="B33" s="5" t="s">
        <v>48</v>
      </c>
      <c r="C33" s="5" t="s">
        <v>92</v>
      </c>
    </row>
    <row r="34" customFormat="false" ht="15" hidden="false" customHeight="false" outlineLevel="0" collapsed="false">
      <c r="A34" s="5" t="s">
        <v>95</v>
      </c>
      <c r="B34" s="5" t="s">
        <v>48</v>
      </c>
      <c r="C34" s="5" t="s">
        <v>92</v>
      </c>
    </row>
    <row r="35" customFormat="false" ht="15" hidden="false" customHeight="false" outlineLevel="0" collapsed="false">
      <c r="A35" s="5" t="s">
        <v>96</v>
      </c>
      <c r="B35" s="5" t="s">
        <v>48</v>
      </c>
      <c r="C35" s="5" t="s">
        <v>92</v>
      </c>
    </row>
    <row r="36" customFormat="false" ht="15" hidden="false" customHeight="false" outlineLevel="0" collapsed="false">
      <c r="A36" s="5" t="s">
        <v>97</v>
      </c>
      <c r="B36" s="5" t="s">
        <v>48</v>
      </c>
      <c r="C36" s="5" t="s">
        <v>92</v>
      </c>
    </row>
    <row r="37" customFormat="false" ht="15" hidden="false" customHeight="false" outlineLevel="0" collapsed="false">
      <c r="A37" s="5" t="s">
        <v>98</v>
      </c>
      <c r="B37" s="5" t="s">
        <v>48</v>
      </c>
      <c r="C37" s="5" t="s">
        <v>92</v>
      </c>
    </row>
    <row r="38" customFormat="false" ht="15" hidden="false" customHeight="false" outlineLevel="0" collapsed="false">
      <c r="A38" s="5" t="s">
        <v>99</v>
      </c>
      <c r="B38" s="5" t="s">
        <v>48</v>
      </c>
      <c r="C38" s="5" t="s">
        <v>92</v>
      </c>
    </row>
    <row r="39" customFormat="false" ht="15" hidden="false" customHeight="false" outlineLevel="0" collapsed="false">
      <c r="A39" s="5" t="s">
        <v>100</v>
      </c>
      <c r="B39" s="5" t="s">
        <v>49</v>
      </c>
      <c r="C39" s="5" t="s">
        <v>101</v>
      </c>
    </row>
    <row r="40" customFormat="false" ht="15" hidden="false" customHeight="false" outlineLevel="0" collapsed="false">
      <c r="A40" s="5" t="s">
        <v>102</v>
      </c>
      <c r="B40" s="5" t="s">
        <v>49</v>
      </c>
      <c r="C40" s="5" t="s">
        <v>101</v>
      </c>
    </row>
    <row r="41" customFormat="false" ht="15" hidden="false" customHeight="false" outlineLevel="0" collapsed="false">
      <c r="A41" s="5" t="s">
        <v>103</v>
      </c>
      <c r="B41" s="5" t="s">
        <v>49</v>
      </c>
      <c r="C41" s="5" t="s">
        <v>101</v>
      </c>
    </row>
    <row r="42" customFormat="false" ht="15" hidden="false" customHeight="false" outlineLevel="0" collapsed="false">
      <c r="A42" s="5" t="s">
        <v>104</v>
      </c>
      <c r="B42" s="5" t="s">
        <v>49</v>
      </c>
      <c r="C42" s="5" t="s">
        <v>101</v>
      </c>
    </row>
    <row r="43" customFormat="false" ht="15" hidden="false" customHeight="false" outlineLevel="0" collapsed="false">
      <c r="A43" s="5" t="s">
        <v>105</v>
      </c>
      <c r="B43" s="5" t="s">
        <v>49</v>
      </c>
      <c r="C43" s="5" t="s">
        <v>101</v>
      </c>
    </row>
    <row r="44" customFormat="false" ht="15" hidden="false" customHeight="false" outlineLevel="0" collapsed="false">
      <c r="A44" s="5" t="s">
        <v>106</v>
      </c>
      <c r="B44" s="5" t="s">
        <v>49</v>
      </c>
      <c r="C44" s="5" t="s">
        <v>101</v>
      </c>
    </row>
    <row r="45" customFormat="false" ht="15" hidden="false" customHeight="false" outlineLevel="0" collapsed="false">
      <c r="A45" s="5" t="s">
        <v>107</v>
      </c>
      <c r="B45" s="5" t="s">
        <v>49</v>
      </c>
      <c r="C45" s="5" t="s">
        <v>101</v>
      </c>
    </row>
    <row r="46" customFormat="false" ht="15" hidden="false" customHeight="false" outlineLevel="0" collapsed="false">
      <c r="A46" s="5" t="s">
        <v>108</v>
      </c>
      <c r="B46" s="5" t="s">
        <v>50</v>
      </c>
      <c r="C46" s="5" t="s">
        <v>109</v>
      </c>
    </row>
    <row r="47" customFormat="false" ht="15" hidden="false" customHeight="false" outlineLevel="0" collapsed="false">
      <c r="A47" s="5" t="s">
        <v>110</v>
      </c>
      <c r="B47" s="5" t="s">
        <v>50</v>
      </c>
      <c r="C47" s="5" t="s">
        <v>109</v>
      </c>
    </row>
    <row r="48" customFormat="false" ht="15" hidden="false" customHeight="false" outlineLevel="0" collapsed="false">
      <c r="A48" s="5" t="s">
        <v>111</v>
      </c>
      <c r="B48" s="5" t="s">
        <v>50</v>
      </c>
      <c r="C48" s="5" t="s">
        <v>109</v>
      </c>
    </row>
    <row r="49" customFormat="false" ht="15" hidden="false" customHeight="false" outlineLevel="0" collapsed="false">
      <c r="A49" s="5" t="s">
        <v>112</v>
      </c>
      <c r="B49" s="5" t="s">
        <v>50</v>
      </c>
      <c r="C49" s="5" t="s">
        <v>109</v>
      </c>
    </row>
    <row r="50" customFormat="false" ht="15" hidden="false" customHeight="false" outlineLevel="0" collapsed="false">
      <c r="A50" s="5" t="s">
        <v>113</v>
      </c>
      <c r="B50" s="5" t="s">
        <v>50</v>
      </c>
      <c r="C50" s="5" t="s">
        <v>109</v>
      </c>
    </row>
    <row r="51" customFormat="false" ht="15" hidden="false" customHeight="false" outlineLevel="0" collapsed="false">
      <c r="A51" s="5" t="s">
        <v>114</v>
      </c>
      <c r="B51" s="5" t="s">
        <v>50</v>
      </c>
      <c r="C51" s="5" t="s">
        <v>109</v>
      </c>
    </row>
    <row r="52" customFormat="false" ht="15" hidden="false" customHeight="false" outlineLevel="0" collapsed="false">
      <c r="A52" s="5" t="s">
        <v>115</v>
      </c>
      <c r="B52" s="5" t="s">
        <v>50</v>
      </c>
      <c r="C52" s="5" t="s">
        <v>109</v>
      </c>
    </row>
    <row r="53" customFormat="false" ht="15" hidden="false" customHeight="false" outlineLevel="0" collapsed="false">
      <c r="A53" s="5" t="s">
        <v>116</v>
      </c>
      <c r="B53" s="5" t="s">
        <v>50</v>
      </c>
      <c r="C53" s="5" t="s">
        <v>109</v>
      </c>
    </row>
    <row r="54" customFormat="false" ht="15" hidden="false" customHeight="false" outlineLevel="0" collapsed="false">
      <c r="A54" s="5" t="s">
        <v>117</v>
      </c>
      <c r="B54" s="5" t="s">
        <v>50</v>
      </c>
      <c r="C54" s="5" t="s">
        <v>109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2026-10-09T17:40:09Z</dcterms:created>
  <dc:creator>openpyxl</dc:creator>
  <dc:description/>
  <dc:language>en-US</dc:language>
  <cp:lastModifiedBy/>
  <dcterms:modified xsi:type="dcterms:W3CDTF">2026-10-09T17:40:09Z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